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anj\Documents\GitHub\acordes\ignore\"/>
    </mc:Choice>
  </mc:AlternateContent>
  <xr:revisionPtr revIDLastSave="0" documentId="13_ncr:1_{71BA7125-7C2C-4786-A4E4-44E352C850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as" sheetId="2" r:id="rId1"/>
    <sheet name="Resumen" sheetId="6" r:id="rId2"/>
    <sheet name="Revólver" sheetId="5" r:id="rId3"/>
    <sheet name="html" sheetId="9" r:id="rId4"/>
    <sheet name="La Oreja de Van Gogh" sheetId="7" r:id="rId5"/>
    <sheet name="Amara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F2" i="9" a="1"/>
  <c r="F2" i="9" s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E64" i="8"/>
  <c r="E113" i="8"/>
  <c r="E4" i="8"/>
  <c r="E80" i="8"/>
  <c r="E100" i="8"/>
  <c r="E43" i="8"/>
  <c r="F43" i="8" s="1"/>
  <c r="E92" i="8"/>
  <c r="F92" i="8" s="1"/>
  <c r="E124" i="8"/>
  <c r="E27" i="8"/>
  <c r="F27" i="8" s="1"/>
  <c r="E70" i="8"/>
  <c r="F70" i="8" s="1"/>
  <c r="E35" i="8"/>
  <c r="E59" i="8"/>
  <c r="E52" i="8"/>
  <c r="E60" i="8"/>
  <c r="F60" i="8" s="1"/>
  <c r="E89" i="8"/>
  <c r="F64" i="8"/>
  <c r="F113" i="8"/>
  <c r="F4" i="8"/>
  <c r="F80" i="8"/>
  <c r="F100" i="8"/>
  <c r="F124" i="8"/>
  <c r="F35" i="8"/>
  <c r="F59" i="8"/>
  <c r="F52" i="8"/>
  <c r="F89" i="8"/>
  <c r="E32" i="8"/>
  <c r="F32" i="8" s="1"/>
  <c r="E28" i="5"/>
  <c r="F28" i="5" s="1"/>
  <c r="E83" i="5"/>
  <c r="F83" i="5" s="1"/>
  <c r="E99" i="5"/>
  <c r="F99" i="5" s="1"/>
  <c r="E8" i="5"/>
  <c r="F8" i="5" s="1"/>
  <c r="E122" i="5"/>
  <c r="F122" i="5" s="1"/>
  <c r="E125" i="5"/>
  <c r="F125" i="5" s="1"/>
  <c r="E131" i="5"/>
  <c r="F131" i="5" s="1"/>
  <c r="E109" i="5"/>
  <c r="F109" i="5" s="1"/>
  <c r="E138" i="5"/>
  <c r="F138" i="5" s="1"/>
  <c r="E55" i="5"/>
  <c r="F55" i="5" s="1"/>
  <c r="E110" i="5"/>
  <c r="F110" i="5" s="1"/>
  <c r="E108" i="5"/>
  <c r="F108" i="5" s="1"/>
  <c r="E74" i="7" l="1"/>
  <c r="F74" i="7" s="1"/>
  <c r="E43" i="7"/>
  <c r="F43" i="7" s="1"/>
  <c r="E73" i="7"/>
  <c r="F73" i="7" s="1"/>
  <c r="E97" i="7"/>
  <c r="F97" i="7" s="1"/>
  <c r="E122" i="7"/>
  <c r="F122" i="7" s="1"/>
  <c r="E45" i="7"/>
  <c r="F45" i="7" s="1"/>
  <c r="E36" i="7"/>
  <c r="F36" i="7" s="1"/>
  <c r="E71" i="7"/>
  <c r="F71" i="7" s="1"/>
  <c r="E7" i="8" l="1"/>
  <c r="E8" i="8"/>
  <c r="E9" i="8"/>
  <c r="E10" i="8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8" i="8"/>
  <c r="F28" i="8" s="1"/>
  <c r="E29" i="8"/>
  <c r="F29" i="8" s="1"/>
  <c r="E30" i="8"/>
  <c r="F30" i="8" s="1"/>
  <c r="E31" i="8"/>
  <c r="F31" i="8" s="1"/>
  <c r="E33" i="8"/>
  <c r="F33" i="8" s="1"/>
  <c r="E34" i="8"/>
  <c r="F34" i="8" s="1"/>
  <c r="E36" i="8"/>
  <c r="F36" i="8" s="1"/>
  <c r="E37" i="8"/>
  <c r="F37" i="8" s="1"/>
  <c r="E38" i="8"/>
  <c r="F38" i="8" s="1"/>
  <c r="E39" i="8"/>
  <c r="F39" i="8" s="1"/>
  <c r="E40" i="8"/>
  <c r="E41" i="8"/>
  <c r="F41" i="8" s="1"/>
  <c r="E42" i="8"/>
  <c r="E44" i="8"/>
  <c r="E45" i="8"/>
  <c r="E46" i="8"/>
  <c r="E47" i="8"/>
  <c r="E48" i="8"/>
  <c r="F48" i="8" s="1"/>
  <c r="E49" i="8"/>
  <c r="F49" i="8" s="1"/>
  <c r="E50" i="8"/>
  <c r="F50" i="8" s="1"/>
  <c r="E51" i="8"/>
  <c r="F51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61" i="8"/>
  <c r="F61" i="8" s="1"/>
  <c r="E62" i="8"/>
  <c r="F62" i="8" s="1"/>
  <c r="E63" i="8"/>
  <c r="F63" i="8" s="1"/>
  <c r="E65" i="8"/>
  <c r="F65" i="8" s="1"/>
  <c r="E66" i="8"/>
  <c r="F66" i="8" s="1"/>
  <c r="E67" i="8"/>
  <c r="F67" i="8" s="1"/>
  <c r="E68" i="8"/>
  <c r="F68" i="8" s="1"/>
  <c r="E69" i="8"/>
  <c r="F69" i="8" s="1"/>
  <c r="E71" i="8"/>
  <c r="F71" i="8" s="1"/>
  <c r="E72" i="8"/>
  <c r="F72" i="8" s="1"/>
  <c r="E73" i="8"/>
  <c r="F73" i="8" s="1"/>
  <c r="E74" i="8"/>
  <c r="F74" i="8" s="1"/>
  <c r="E75" i="8"/>
  <c r="F75" i="8" s="1"/>
  <c r="E76" i="8"/>
  <c r="F76" i="8" s="1"/>
  <c r="E77" i="8"/>
  <c r="F77" i="8" s="1"/>
  <c r="E78" i="8"/>
  <c r="F78" i="8" s="1"/>
  <c r="E79" i="8"/>
  <c r="F79" i="8" s="1"/>
  <c r="E81" i="8"/>
  <c r="F81" i="8" s="1"/>
  <c r="E82" i="8"/>
  <c r="F82" i="8" s="1"/>
  <c r="E83" i="8"/>
  <c r="F83" i="8" s="1"/>
  <c r="E84" i="8"/>
  <c r="F84" i="8" s="1"/>
  <c r="E85" i="8"/>
  <c r="F85" i="8" s="1"/>
  <c r="E86" i="8"/>
  <c r="F86" i="8" s="1"/>
  <c r="E87" i="8"/>
  <c r="F87" i="8" s="1"/>
  <c r="E88" i="8"/>
  <c r="F88" i="8" s="1"/>
  <c r="E90" i="8"/>
  <c r="F90" i="8" s="1"/>
  <c r="E91" i="8"/>
  <c r="F91" i="8" s="1"/>
  <c r="E93" i="8"/>
  <c r="F93" i="8" s="1"/>
  <c r="E94" i="8"/>
  <c r="F94" i="8" s="1"/>
  <c r="E95" i="8"/>
  <c r="F95" i="8" s="1"/>
  <c r="E96" i="8"/>
  <c r="F96" i="8" s="1"/>
  <c r="E97" i="8"/>
  <c r="F97" i="8" s="1"/>
  <c r="E98" i="8"/>
  <c r="F98" i="8" s="1"/>
  <c r="E99" i="8"/>
  <c r="F99" i="8" s="1"/>
  <c r="E101" i="8"/>
  <c r="F101" i="8" s="1"/>
  <c r="E102" i="8"/>
  <c r="F102" i="8" s="1"/>
  <c r="E103" i="8"/>
  <c r="E104" i="8"/>
  <c r="E105" i="8"/>
  <c r="E106" i="8"/>
  <c r="E107" i="8"/>
  <c r="E108" i="8"/>
  <c r="E109" i="8"/>
  <c r="F109" i="8" s="1"/>
  <c r="E110" i="8"/>
  <c r="F110" i="8" s="1"/>
  <c r="E111" i="8"/>
  <c r="F111" i="8" s="1"/>
  <c r="E112" i="8"/>
  <c r="F112" i="8" s="1"/>
  <c r="E114" i="8"/>
  <c r="F114" i="8" s="1"/>
  <c r="E115" i="8"/>
  <c r="F115" i="8" s="1"/>
  <c r="E116" i="8"/>
  <c r="F116" i="8" s="1"/>
  <c r="E117" i="8"/>
  <c r="F117" i="8" s="1"/>
  <c r="E118" i="8"/>
  <c r="F118" i="8" s="1"/>
  <c r="E119" i="8"/>
  <c r="F119" i="8" s="1"/>
  <c r="E120" i="8"/>
  <c r="F120" i="8" s="1"/>
  <c r="E121" i="8"/>
  <c r="F121" i="8" s="1"/>
  <c r="E122" i="8"/>
  <c r="F122" i="8" s="1"/>
  <c r="E123" i="8"/>
  <c r="F123" i="8" s="1"/>
  <c r="E125" i="8"/>
  <c r="F125" i="8" s="1"/>
  <c r="E126" i="8"/>
  <c r="F126" i="8" s="1"/>
  <c r="F7" i="8"/>
  <c r="F8" i="8"/>
  <c r="F9" i="8"/>
  <c r="F10" i="8"/>
  <c r="F40" i="8"/>
  <c r="F42" i="8"/>
  <c r="F44" i="8"/>
  <c r="F45" i="8"/>
  <c r="F46" i="8"/>
  <c r="F47" i="8"/>
  <c r="F103" i="8"/>
  <c r="F104" i="8"/>
  <c r="F105" i="8"/>
  <c r="F106" i="8"/>
  <c r="F107" i="8"/>
  <c r="F108" i="8"/>
  <c r="E6" i="8"/>
  <c r="F6" i="8" s="1"/>
  <c r="E5" i="8"/>
  <c r="F5" i="8" s="1"/>
  <c r="E3" i="8"/>
  <c r="F3" i="8" s="1"/>
  <c r="E2" i="8"/>
  <c r="F2" i="8" s="1"/>
  <c r="E3" i="7"/>
  <c r="F3" i="7" s="1"/>
  <c r="E4" i="7"/>
  <c r="F4" i="7" s="1"/>
  <c r="E5" i="7"/>
  <c r="F5" i="7" s="1"/>
  <c r="E6" i="7"/>
  <c r="F6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4" i="7"/>
  <c r="F44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2" i="7"/>
  <c r="F72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3" i="7"/>
  <c r="F123" i="7" s="1"/>
  <c r="E124" i="7"/>
  <c r="F124" i="7" s="1"/>
  <c r="E125" i="7"/>
  <c r="F125" i="7" s="1"/>
  <c r="E126" i="7"/>
  <c r="F126" i="7" s="1"/>
  <c r="E2" i="7"/>
  <c r="F2" i="7" s="1"/>
  <c r="F2" i="5"/>
  <c r="A2" i="6" l="1" a="1"/>
  <c r="E79" i="5"/>
  <c r="F79" i="5" s="1"/>
  <c r="E189" i="5"/>
  <c r="F189" i="5" s="1"/>
  <c r="E54" i="5"/>
  <c r="F54" i="5" s="1"/>
  <c r="E27" i="5"/>
  <c r="F27" i="5" s="1"/>
  <c r="E48" i="5"/>
  <c r="F48" i="5" s="1"/>
  <c r="E39" i="5"/>
  <c r="F39" i="5" s="1"/>
  <c r="E116" i="5"/>
  <c r="F116" i="5" s="1"/>
  <c r="E92" i="5"/>
  <c r="F92" i="5" s="1"/>
  <c r="E169" i="5"/>
  <c r="F169" i="5" s="1"/>
  <c r="E11" i="5"/>
  <c r="F11" i="5" s="1"/>
  <c r="E93" i="5"/>
  <c r="F93" i="5" s="1"/>
  <c r="E98" i="5"/>
  <c r="F98" i="5" s="1"/>
  <c r="E75" i="5"/>
  <c r="F75" i="5" s="1"/>
  <c r="E82" i="5"/>
  <c r="F82" i="5" s="1"/>
  <c r="E157" i="5"/>
  <c r="F157" i="5" s="1"/>
  <c r="E45" i="5"/>
  <c r="F45" i="5" s="1"/>
  <c r="E149" i="5"/>
  <c r="F149" i="5" s="1"/>
  <c r="E142" i="5"/>
  <c r="F142" i="5" s="1"/>
  <c r="E121" i="5"/>
  <c r="F121" i="5" s="1"/>
  <c r="E115" i="5"/>
  <c r="F115" i="5" s="1"/>
  <c r="E106" i="5"/>
  <c r="F106" i="5" s="1"/>
  <c r="E123" i="5"/>
  <c r="F123" i="5" s="1"/>
  <c r="E49" i="5"/>
  <c r="F49" i="5" s="1"/>
  <c r="E162" i="5"/>
  <c r="F162" i="5" s="1"/>
  <c r="E154" i="5"/>
  <c r="F154" i="5" s="1"/>
  <c r="E136" i="5"/>
  <c r="F136" i="5" s="1"/>
  <c r="E3" i="5"/>
  <c r="F3" i="5" s="1"/>
  <c r="E4" i="5"/>
  <c r="F4" i="5" s="1"/>
  <c r="E5" i="5"/>
  <c r="F5" i="5" s="1"/>
  <c r="E6" i="5"/>
  <c r="F6" i="5" s="1"/>
  <c r="E7" i="5"/>
  <c r="F7" i="5" s="1"/>
  <c r="E9" i="5"/>
  <c r="F9" i="5" s="1"/>
  <c r="E10" i="5"/>
  <c r="F10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40" i="5"/>
  <c r="F40" i="5" s="1"/>
  <c r="E41" i="5"/>
  <c r="F41" i="5" s="1"/>
  <c r="E42" i="5"/>
  <c r="F42" i="5" s="1"/>
  <c r="E43" i="5"/>
  <c r="F43" i="5" s="1"/>
  <c r="E44" i="5"/>
  <c r="F44" i="5" s="1"/>
  <c r="E46" i="5"/>
  <c r="F46" i="5" s="1"/>
  <c r="E47" i="5"/>
  <c r="F47" i="5" s="1"/>
  <c r="E50" i="5"/>
  <c r="F50" i="5" s="1"/>
  <c r="E51" i="5"/>
  <c r="F51" i="5" s="1"/>
  <c r="E52" i="5"/>
  <c r="F52" i="5" s="1"/>
  <c r="E53" i="5"/>
  <c r="F53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6" i="5"/>
  <c r="F76" i="5" s="1"/>
  <c r="E77" i="5"/>
  <c r="F77" i="5" s="1"/>
  <c r="E78" i="5"/>
  <c r="F78" i="5" s="1"/>
  <c r="E80" i="5"/>
  <c r="F80" i="5" s="1"/>
  <c r="E81" i="5"/>
  <c r="F81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4" i="5"/>
  <c r="F94" i="5" s="1"/>
  <c r="E95" i="5"/>
  <c r="F95" i="5" s="1"/>
  <c r="E96" i="5"/>
  <c r="F96" i="5" s="1"/>
  <c r="E97" i="5"/>
  <c r="F97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7" i="5"/>
  <c r="F107" i="5" s="1"/>
  <c r="E111" i="5"/>
  <c r="F111" i="5" s="1"/>
  <c r="E112" i="5"/>
  <c r="F112" i="5" s="1"/>
  <c r="E113" i="5"/>
  <c r="F113" i="5" s="1"/>
  <c r="E114" i="5"/>
  <c r="F114" i="5" s="1"/>
  <c r="E117" i="5"/>
  <c r="F117" i="5" s="1"/>
  <c r="E118" i="5"/>
  <c r="F118" i="5" s="1"/>
  <c r="E119" i="5"/>
  <c r="F119" i="5" s="1"/>
  <c r="E120" i="5"/>
  <c r="F120" i="5" s="1"/>
  <c r="E124" i="5"/>
  <c r="F124" i="5" s="1"/>
  <c r="E126" i="5"/>
  <c r="F126" i="5" s="1"/>
  <c r="E127" i="5"/>
  <c r="F127" i="5" s="1"/>
  <c r="E128" i="5"/>
  <c r="F128" i="5" s="1"/>
  <c r="E129" i="5"/>
  <c r="F129" i="5" s="1"/>
  <c r="E130" i="5"/>
  <c r="F130" i="5" s="1"/>
  <c r="E132" i="5"/>
  <c r="F132" i="5" s="1"/>
  <c r="E133" i="5"/>
  <c r="F133" i="5" s="1"/>
  <c r="E134" i="5"/>
  <c r="F134" i="5" s="1"/>
  <c r="E135" i="5"/>
  <c r="F135" i="5" s="1"/>
  <c r="E137" i="5"/>
  <c r="F137" i="5" s="1"/>
  <c r="E139" i="5"/>
  <c r="F139" i="5" s="1"/>
  <c r="E140" i="5"/>
  <c r="F140" i="5" s="1"/>
  <c r="E141" i="5"/>
  <c r="F141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50" i="5"/>
  <c r="F150" i="5" s="1"/>
  <c r="E151" i="5"/>
  <c r="F151" i="5" s="1"/>
  <c r="E152" i="5"/>
  <c r="F152" i="5" s="1"/>
  <c r="E153" i="5"/>
  <c r="F153" i="5" s="1"/>
  <c r="E155" i="5"/>
  <c r="F155" i="5" s="1"/>
  <c r="E156" i="5"/>
  <c r="F156" i="5" s="1"/>
  <c r="E158" i="5"/>
  <c r="F158" i="5" s="1"/>
  <c r="E159" i="5"/>
  <c r="F159" i="5" s="1"/>
  <c r="E160" i="5"/>
  <c r="F160" i="5" s="1"/>
  <c r="E161" i="5"/>
  <c r="F161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90" i="5"/>
  <c r="F190" i="5" s="1"/>
  <c r="E191" i="5"/>
  <c r="F191" i="5" s="1"/>
  <c r="E192" i="5"/>
  <c r="F192" i="5" s="1"/>
  <c r="E193" i="5"/>
  <c r="F193" i="5" s="1"/>
  <c r="B5" i="6"/>
  <c r="C31" i="6"/>
  <c r="B31" i="6"/>
  <c r="B19" i="6"/>
  <c r="B27" i="6"/>
  <c r="C15" i="6"/>
  <c r="B29" i="6"/>
  <c r="B22" i="6"/>
  <c r="B26" i="6"/>
  <c r="C20" i="6"/>
  <c r="C9" i="6"/>
  <c r="C21" i="6"/>
  <c r="C18" i="6"/>
  <c r="B18" i="6"/>
  <c r="B33" i="6"/>
  <c r="C5" i="6"/>
  <c r="C26" i="6"/>
  <c r="B8" i="6"/>
  <c r="C23" i="6"/>
  <c r="B13" i="6"/>
  <c r="C27" i="6"/>
  <c r="C33" i="6"/>
  <c r="B15" i="6"/>
  <c r="B3" i="6"/>
  <c r="B20" i="6"/>
  <c r="B21" i="6"/>
  <c r="C7" i="6"/>
  <c r="B25" i="6"/>
  <c r="B9" i="6"/>
  <c r="B11" i="6"/>
  <c r="B32" i="6"/>
  <c r="C16" i="6"/>
  <c r="C19" i="6"/>
  <c r="B23" i="6"/>
  <c r="B17" i="6"/>
  <c r="B34" i="6"/>
  <c r="B16" i="6"/>
  <c r="C24" i="6"/>
  <c r="C13" i="6"/>
  <c r="C3" i="6"/>
  <c r="B24" i="6"/>
  <c r="C10" i="6"/>
  <c r="C14" i="6"/>
  <c r="B4" i="6"/>
  <c r="B10" i="6"/>
  <c r="B30" i="6"/>
  <c r="B6" i="6"/>
  <c r="C6" i="6"/>
  <c r="C8" i="6"/>
  <c r="B14" i="6"/>
  <c r="B12" i="6"/>
  <c r="C22" i="6"/>
  <c r="B28" i="6"/>
  <c r="C28" i="6"/>
  <c r="C32" i="6"/>
  <c r="C11" i="6"/>
  <c r="C29" i="6"/>
  <c r="C4" i="6"/>
  <c r="B7" i="6"/>
  <c r="C25" i="6"/>
  <c r="C12" i="6"/>
  <c r="C34" i="6"/>
  <c r="C17" i="6"/>
  <c r="C30" i="6"/>
  <c r="G3" i="6" l="1"/>
  <c r="G19" i="6"/>
  <c r="G7" i="6"/>
  <c r="G29" i="6"/>
  <c r="G15" i="6"/>
  <c r="G4" i="6"/>
  <c r="G20" i="6"/>
  <c r="G22" i="6"/>
  <c r="G5" i="6"/>
  <c r="G21" i="6"/>
  <c r="G6" i="6"/>
  <c r="G23" i="6"/>
  <c r="G30" i="6"/>
  <c r="G32" i="6"/>
  <c r="G31" i="6"/>
  <c r="G13" i="6"/>
  <c r="G8" i="6"/>
  <c r="G24" i="6"/>
  <c r="G9" i="6"/>
  <c r="G25" i="6"/>
  <c r="G26" i="6"/>
  <c r="G11" i="6"/>
  <c r="G27" i="6"/>
  <c r="G33" i="6"/>
  <c r="G10" i="6"/>
  <c r="G16" i="6"/>
  <c r="G12" i="6"/>
  <c r="G28" i="6"/>
  <c r="G14" i="6"/>
  <c r="G17" i="6"/>
  <c r="G18" i="6"/>
  <c r="G34" i="6"/>
  <c r="E3" i="6"/>
  <c r="E19" i="6"/>
  <c r="E6" i="6"/>
  <c r="E29" i="6"/>
  <c r="E4" i="6"/>
  <c r="E20" i="6"/>
  <c r="E22" i="6"/>
  <c r="E23" i="6"/>
  <c r="E17" i="6"/>
  <c r="E5" i="6"/>
  <c r="E21" i="6"/>
  <c r="E7" i="6"/>
  <c r="E8" i="6"/>
  <c r="E24" i="6"/>
  <c r="E25" i="6"/>
  <c r="E9" i="6"/>
  <c r="E31" i="6"/>
  <c r="E10" i="6"/>
  <c r="E26" i="6"/>
  <c r="E11" i="6"/>
  <c r="E27" i="6"/>
  <c r="E12" i="6"/>
  <c r="E28" i="6"/>
  <c r="E33" i="6"/>
  <c r="E13" i="6"/>
  <c r="E32" i="6"/>
  <c r="E14" i="6"/>
  <c r="E30" i="6"/>
  <c r="E15" i="6"/>
  <c r="E16" i="6"/>
  <c r="E18" i="6"/>
  <c r="E34" i="6"/>
  <c r="A2" i="6"/>
  <c r="G2" i="6" s="1"/>
  <c r="D18" i="6"/>
  <c r="D17" i="6"/>
  <c r="D16" i="6"/>
  <c r="D15" i="6"/>
  <c r="D14" i="6"/>
  <c r="D33" i="6"/>
  <c r="D30" i="6"/>
  <c r="D29" i="6"/>
  <c r="D13" i="6"/>
  <c r="D12" i="6"/>
  <c r="D11" i="6"/>
  <c r="D26" i="6"/>
  <c r="D10" i="6"/>
  <c r="D9" i="6"/>
  <c r="D8" i="6"/>
  <c r="D7" i="6"/>
  <c r="D31" i="6"/>
  <c r="D6" i="6"/>
  <c r="D34" i="6"/>
  <c r="D25" i="6"/>
  <c r="D24" i="6"/>
  <c r="D23" i="6"/>
  <c r="D22" i="6"/>
  <c r="D21" i="6"/>
  <c r="D5" i="6"/>
  <c r="D32" i="6"/>
  <c r="D27" i="6"/>
  <c r="D4" i="6"/>
  <c r="D28" i="6"/>
  <c r="D20" i="6"/>
  <c r="D19" i="6"/>
  <c r="D3" i="6"/>
  <c r="B2" i="6"/>
  <c r="C2" i="6"/>
  <c r="J1" i="6" l="1"/>
  <c r="E2" i="6"/>
  <c r="J2" i="6"/>
  <c r="D2" i="6"/>
  <c r="J3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<sst xmlns="http://schemas.openxmlformats.org/spreadsheetml/2006/main" count="7642" uniqueCount="3939">
  <si>
    <t>21 gramos</t>
  </si>
  <si>
    <t>A contratiempo</t>
  </si>
  <si>
    <t>Ángeles de alas sucias</t>
  </si>
  <si>
    <t>Asustando al huracán</t>
  </si>
  <si>
    <t>Ay, amor</t>
  </si>
  <si>
    <t>Babilonia</t>
  </si>
  <si>
    <t>Bailando en la frontera</t>
  </si>
  <si>
    <t>Balas perdidas</t>
  </si>
  <si>
    <t>Besaré el suelo</t>
  </si>
  <si>
    <t>Besos de contrabando</t>
  </si>
  <si>
    <t>BlackJack</t>
  </si>
  <si>
    <t>Cada día</t>
  </si>
  <si>
    <t>Calle Mayor</t>
  </si>
  <si>
    <t>Campanilla</t>
  </si>
  <si>
    <t>Carreteras secundarias</t>
  </si>
  <si>
    <t>Clarisa</t>
  </si>
  <si>
    <t>Como único equipaje</t>
  </si>
  <si>
    <t>Cuando todo va bien</t>
  </si>
  <si>
    <t>Dentro de ti</t>
  </si>
  <si>
    <t>Días de vino y rosas</t>
  </si>
  <si>
    <t>Dime cómo lo hago yo</t>
  </si>
  <si>
    <t>Dime por qué</t>
  </si>
  <si>
    <t>Dónde está el final</t>
  </si>
  <si>
    <t>Dos por dos</t>
  </si>
  <si>
    <t>Duro de llevar</t>
  </si>
  <si>
    <t>El aire sabe a veneno</t>
  </si>
  <si>
    <t>El boulevard de los idiotas</t>
  </si>
  <si>
    <t>El canal</t>
  </si>
  <si>
    <t>El Dorado</t>
  </si>
  <si>
    <t>El mismo hombre</t>
  </si>
  <si>
    <t>El peligro</t>
  </si>
  <si>
    <t>El roce de tu piel</t>
  </si>
  <si>
    <t>El único espectador</t>
  </si>
  <si>
    <t>Ella es y será todo para mí</t>
  </si>
  <si>
    <t>En blanco y negro</t>
  </si>
  <si>
    <t>En un mundo de dos</t>
  </si>
  <si>
    <t>Entre las nubes</t>
  </si>
  <si>
    <t>Es lo que es, hay lo que hay</t>
  </si>
  <si>
    <t>Es mejor caminar</t>
  </si>
  <si>
    <t>Esclavo de tu amor</t>
  </si>
  <si>
    <t>Ese viejo Rock’n’Roll</t>
  </si>
  <si>
    <t>Eso de saber</t>
  </si>
  <si>
    <t>Esperando mi tren</t>
  </si>
  <si>
    <t>Esta noche tengo más de lo normal</t>
  </si>
  <si>
    <t>Faro de Lisboa</t>
  </si>
  <si>
    <t>Frío en Madrid</t>
  </si>
  <si>
    <t>Fuera de lugar</t>
  </si>
  <si>
    <t>Gargantas y desfiladeros</t>
  </si>
  <si>
    <t>Hay besos</t>
  </si>
  <si>
    <t>He de salir</t>
  </si>
  <si>
    <t>Intentando vadear</t>
  </si>
  <si>
    <t>La carretera</t>
  </si>
  <si>
    <t>La flor más bella</t>
  </si>
  <si>
    <t>La fortuna</t>
  </si>
  <si>
    <t>La moral mora en la moneda</t>
  </si>
  <si>
    <t>La sonrisa de tu boca</t>
  </si>
  <si>
    <t>La vanidad</t>
  </si>
  <si>
    <t>Las armas rotas</t>
  </si>
  <si>
    <t>Las calles de Madrid</t>
  </si>
  <si>
    <t>Lecho de rosas</t>
  </si>
  <si>
    <t>Lisa y Fran</t>
  </si>
  <si>
    <t>Lo que Ana ve</t>
  </si>
  <si>
    <t>Lo que me hace feliz</t>
  </si>
  <si>
    <t>Los surcos de tu espalda</t>
  </si>
  <si>
    <t>Magnolia Lane</t>
  </si>
  <si>
    <t>Malvarrosa Affaire</t>
  </si>
  <si>
    <t>Manos arriba</t>
  </si>
  <si>
    <t>Marineros varados</t>
  </si>
  <si>
    <t>Más por ellos que por mí</t>
  </si>
  <si>
    <t>Más tequila</t>
  </si>
  <si>
    <t>Mestizo</t>
  </si>
  <si>
    <t>Mi norte siempre apunta al sur</t>
  </si>
  <si>
    <t>Mi rendición</t>
  </si>
  <si>
    <t>Mi revolución</t>
  </si>
  <si>
    <t>Mustang Shelby</t>
  </si>
  <si>
    <t>Nacidos para la gloria</t>
  </si>
  <si>
    <t>No hay mañanas</t>
  </si>
  <si>
    <t>No me hace falta más</t>
  </si>
  <si>
    <t>No va más</t>
  </si>
  <si>
    <t>Odio</t>
  </si>
  <si>
    <t>Olas muertas</t>
  </si>
  <si>
    <t>Perdí lo que no tuve</t>
  </si>
  <si>
    <t>Petroleros</t>
  </si>
  <si>
    <t>Planeta Prozac</t>
  </si>
  <si>
    <t>Por un beso</t>
  </si>
  <si>
    <t>Premios y cicatrices</t>
  </si>
  <si>
    <t>Princesas o mendigos</t>
  </si>
  <si>
    <t>Quién está más vivo de los dos</t>
  </si>
  <si>
    <t>Quiero aire</t>
  </si>
  <si>
    <t>Reconozco la frontera</t>
  </si>
  <si>
    <t>Reír y llorar</t>
  </si>
  <si>
    <t>Rodrigo y Teresa</t>
  </si>
  <si>
    <t>Rosario</t>
  </si>
  <si>
    <t>San Francisco</t>
  </si>
  <si>
    <t>San Pedro</t>
  </si>
  <si>
    <t>Santa María</t>
  </si>
  <si>
    <t>Sara</t>
  </si>
  <si>
    <t>Si es por ti</t>
  </si>
  <si>
    <t>Si es tan sólo amor</t>
  </si>
  <si>
    <t>Si no hubiera que correr</t>
  </si>
  <si>
    <t>Sin Barcelona</t>
  </si>
  <si>
    <t>Sol de invierno</t>
  </si>
  <si>
    <t>Soy como soy</t>
  </si>
  <si>
    <t>Te quiero</t>
  </si>
  <si>
    <t>Teamotemor</t>
  </si>
  <si>
    <t>Ten fe en mí</t>
  </si>
  <si>
    <t>Tengo mi tiempo</t>
  </si>
  <si>
    <t>Tiempo pequeño</t>
  </si>
  <si>
    <t>Tierra baldía</t>
  </si>
  <si>
    <t>Todo aquello que jamás seré</t>
  </si>
  <si>
    <t>Todo lo que no se llora no se limpia</t>
  </si>
  <si>
    <t>Todos somos capitanes</t>
  </si>
  <si>
    <t>Tu canción</t>
  </si>
  <si>
    <t>Tu lado bueno</t>
  </si>
  <si>
    <t>Tu noche y la mía</t>
  </si>
  <si>
    <t>Tú y yo</t>
  </si>
  <si>
    <t>Una guerra feliz</t>
  </si>
  <si>
    <t>Una lluvia violenta y salvaje</t>
  </si>
  <si>
    <t>Viaje a ninguna parte</t>
  </si>
  <si>
    <t>Vidas</t>
  </si>
  <si>
    <t>Y del hombre</t>
  </si>
  <si>
    <t>Y pasa el tiempo</t>
  </si>
  <si>
    <t>Ya no hay dos para cenar</t>
  </si>
  <si>
    <t>Respirando bajo el agua</t>
  </si>
  <si>
    <t>20 de enero</t>
  </si>
  <si>
    <t>A diez centímetros de ti</t>
  </si>
  <si>
    <t>Adiós</t>
  </si>
  <si>
    <t>Amores dormidos</t>
  </si>
  <si>
    <t>Apareces tú</t>
  </si>
  <si>
    <t>Aquella ingrata</t>
  </si>
  <si>
    <t>Bonustrack</t>
  </si>
  <si>
    <t>Canción desesperada</t>
  </si>
  <si>
    <t>Coronel</t>
  </si>
  <si>
    <t>Cuántos cuentos cuento</t>
  </si>
  <si>
    <t>Cuéntame al oído</t>
  </si>
  <si>
    <t>Cuídate</t>
  </si>
  <si>
    <t>Déjate llevar</t>
  </si>
  <si>
    <t>Desde el puerto</t>
  </si>
  <si>
    <t>Deseos de cosas imposibles</t>
  </si>
  <si>
    <t>Despacio</t>
  </si>
  <si>
    <t>Dicen que dicen</t>
  </si>
  <si>
    <t>Dile al sol</t>
  </si>
  <si>
    <t>Dos cristales</t>
  </si>
  <si>
    <t>Dulce locura</t>
  </si>
  <si>
    <t>El 28</t>
  </si>
  <si>
    <t>El libro</t>
  </si>
  <si>
    <t>El tiempo</t>
  </si>
  <si>
    <t>En mi lado del sofá</t>
  </si>
  <si>
    <t>Escapar</t>
  </si>
  <si>
    <t>Flash</t>
  </si>
  <si>
    <t>Geografía</t>
  </si>
  <si>
    <t>Historia de un sueño</t>
  </si>
  <si>
    <t>Irreversible</t>
  </si>
  <si>
    <t>La carta</t>
  </si>
  <si>
    <t>La chica del gorro azul</t>
  </si>
  <si>
    <t>La esperanza debida</t>
  </si>
  <si>
    <t>La estrella y la luna</t>
  </si>
  <si>
    <t>La paz de tus ojos</t>
  </si>
  <si>
    <t>La playa</t>
  </si>
  <si>
    <t>Los amantes del círculo polar</t>
  </si>
  <si>
    <t>Manhattan</t>
  </si>
  <si>
    <t>Mariposa</t>
  </si>
  <si>
    <t>Mi vida sin ti</t>
  </si>
  <si>
    <t>Muñeca de trapo</t>
  </si>
  <si>
    <t>Nadie como tú</t>
  </si>
  <si>
    <t>Noche</t>
  </si>
  <si>
    <t>Nube</t>
  </si>
  <si>
    <t>Nuestro mundo</t>
  </si>
  <si>
    <t>París</t>
  </si>
  <si>
    <t>Perdida</t>
  </si>
  <si>
    <t>Perdóname</t>
  </si>
  <si>
    <t>Pesadilla</t>
  </si>
  <si>
    <t>Pop</t>
  </si>
  <si>
    <t>Puedes contar conmigo</t>
  </si>
  <si>
    <t>Qué puedo pedir</t>
  </si>
  <si>
    <t>Rosas</t>
  </si>
  <si>
    <t>Soledad</t>
  </si>
  <si>
    <t>Soñaré</t>
  </si>
  <si>
    <t>Tantas cosas que contar</t>
  </si>
  <si>
    <t>Tic, tac</t>
  </si>
  <si>
    <t>Tu pelo</t>
  </si>
  <si>
    <t>Un mundo mejor</t>
  </si>
  <si>
    <t>V.O.S.</t>
  </si>
  <si>
    <t>Vestido azul</t>
  </si>
  <si>
    <t>Viejo cuento</t>
  </si>
  <si>
    <t>Vuelve</t>
  </si>
  <si>
    <t>Abrázame</t>
  </si>
  <si>
    <t>Camino de tu corazón</t>
  </si>
  <si>
    <t>Cometas por el cielo</t>
  </si>
  <si>
    <t>Cuando dices adiós</t>
  </si>
  <si>
    <t>Cuando menos lo merezca</t>
  </si>
  <si>
    <t>Cumplir un año menos</t>
  </si>
  <si>
    <t>Día cero</t>
  </si>
  <si>
    <t>Diciembre</t>
  </si>
  <si>
    <t>Dos copos de nieve</t>
  </si>
  <si>
    <t>Durante una mirada</t>
  </si>
  <si>
    <t>El primer día del resto de mi vida</t>
  </si>
  <si>
    <t>El tiempo a solas</t>
  </si>
  <si>
    <t>El último vals</t>
  </si>
  <si>
    <t>Esa chica</t>
  </si>
  <si>
    <t>Esta vez no digas nada</t>
  </si>
  <si>
    <t>Estoy contigo</t>
  </si>
  <si>
    <t>Europa VII</t>
  </si>
  <si>
    <t>Flores en la orilla</t>
  </si>
  <si>
    <t>Inmortal</t>
  </si>
  <si>
    <t>Intocables</t>
  </si>
  <si>
    <t>Jueves</t>
  </si>
  <si>
    <t>La chica del espejo</t>
  </si>
  <si>
    <t>La niña que llora en tus fiestas</t>
  </si>
  <si>
    <t>La primera versión</t>
  </si>
  <si>
    <t>La visita</t>
  </si>
  <si>
    <t>Las noches que no mueren</t>
  </si>
  <si>
    <t>María</t>
  </si>
  <si>
    <t>Más</t>
  </si>
  <si>
    <t>Mi calle es Nueva York</t>
  </si>
  <si>
    <t>Mi pequeño gran valiente</t>
  </si>
  <si>
    <t>Mientras quede por decir una palabra</t>
  </si>
  <si>
    <t>No vales más que yo</t>
  </si>
  <si>
    <t>Otra vez me has sacado a bailar</t>
  </si>
  <si>
    <t>Palabras para Paula</t>
  </si>
  <si>
    <t>Pálida luna</t>
  </si>
  <si>
    <t>Paloma blanca</t>
  </si>
  <si>
    <t>Promesas de primavera</t>
  </si>
  <si>
    <t>Siempre</t>
  </si>
  <si>
    <t>Sola</t>
  </si>
  <si>
    <t>Tan guapa</t>
  </si>
  <si>
    <t>Te pareces tanto a mí</t>
  </si>
  <si>
    <t>Un cuento sobre el agua</t>
  </si>
  <si>
    <t>Un minuto más</t>
  </si>
  <si>
    <t>Una y otra vez</t>
  </si>
  <si>
    <t>Verano</t>
  </si>
  <si>
    <t>Revólver</t>
  </si>
  <si>
    <t>Amaral</t>
  </si>
  <si>
    <t>500 vidas</t>
  </si>
  <si>
    <t>Al final</t>
  </si>
  <si>
    <t>Alerta</t>
  </si>
  <si>
    <t>Antártida</t>
  </si>
  <si>
    <t>Biarritz</t>
  </si>
  <si>
    <t>Big Bang</t>
  </si>
  <si>
    <t>Botas de terciopelo</t>
  </si>
  <si>
    <t>Cabecita loca</t>
  </si>
  <si>
    <t>Cara a cara</t>
  </si>
  <si>
    <t>Cazador</t>
  </si>
  <si>
    <t>Chatarra</t>
  </si>
  <si>
    <t>Cómo hablar</t>
  </si>
  <si>
    <t>Como un martillo en la pared</t>
  </si>
  <si>
    <t>Concorde</t>
  </si>
  <si>
    <t>Confiar en alguien</t>
  </si>
  <si>
    <t>Cuando suba la marea</t>
  </si>
  <si>
    <t>De carne y hueso</t>
  </si>
  <si>
    <t>De la noche a la mañana</t>
  </si>
  <si>
    <t>Deprisa</t>
  </si>
  <si>
    <t>Días de verano</t>
  </si>
  <si>
    <t>Dile a la rabia</t>
  </si>
  <si>
    <t>Doce palabras</t>
  </si>
  <si>
    <t>El artista del alambre</t>
  </si>
  <si>
    <t>El blues de la generación perdida</t>
  </si>
  <si>
    <t>El centro de mis ojos</t>
  </si>
  <si>
    <t>El día de año nuevo</t>
  </si>
  <si>
    <t>El mundo al revés</t>
  </si>
  <si>
    <t>El universo sobre mí</t>
  </si>
  <si>
    <t>En el río</t>
  </si>
  <si>
    <t>En el tiempo equivocado</t>
  </si>
  <si>
    <t>En sólo un segundo</t>
  </si>
  <si>
    <t>Enamorada</t>
  </si>
  <si>
    <t>Es sólo una canción</t>
  </si>
  <si>
    <t>Esperando un resplandor</t>
  </si>
  <si>
    <t>Esta madrugada</t>
  </si>
  <si>
    <t>Esta noche</t>
  </si>
  <si>
    <t>Estrella de mar</t>
  </si>
  <si>
    <t>Gato negro</t>
  </si>
  <si>
    <t>Habla</t>
  </si>
  <si>
    <t>Hacia lo salvaje</t>
  </si>
  <si>
    <t>Hoy es el principio del final</t>
  </si>
  <si>
    <t>Kamikaze</t>
  </si>
  <si>
    <t>La barrera del sonido</t>
  </si>
  <si>
    <t>La ciudad maldita</t>
  </si>
  <si>
    <t>La niebla</t>
  </si>
  <si>
    <t>Laberintos</t>
  </si>
  <si>
    <t>Las chicas de mi barrio</t>
  </si>
  <si>
    <t>Las puertas del infierno</t>
  </si>
  <si>
    <t>Llévame muy lejos</t>
  </si>
  <si>
    <t>Lo que nos mantiene unidos</t>
  </si>
  <si>
    <t>Lo quiero oír de tu boca</t>
  </si>
  <si>
    <t>Los aviones no pueden volar</t>
  </si>
  <si>
    <t>Marta, Sebas, Guille y los demás</t>
  </si>
  <si>
    <t>Mercado negro</t>
  </si>
  <si>
    <t>Mi alma perdida</t>
  </si>
  <si>
    <t>Montaña rusa</t>
  </si>
  <si>
    <t>Moriría por vos</t>
  </si>
  <si>
    <t>Nada de nada</t>
  </si>
  <si>
    <t>Nadie nos recordará</t>
  </si>
  <si>
    <t>No existen los milagros</t>
  </si>
  <si>
    <t>No sabe adónde va</t>
  </si>
  <si>
    <t>No sé qué hacer con mi vida</t>
  </si>
  <si>
    <t>No soy como tú</t>
  </si>
  <si>
    <t>Noche de cuchillos</t>
  </si>
  <si>
    <t>Nocturnal</t>
  </si>
  <si>
    <t>Olvido</t>
  </si>
  <si>
    <t>Qué será</t>
  </si>
  <si>
    <t>Queda el silencio</t>
  </si>
  <si>
    <t>Resurrección</t>
  </si>
  <si>
    <t>Revolución</t>
  </si>
  <si>
    <t>Riazor</t>
  </si>
  <si>
    <t>Robin Hood</t>
  </si>
  <si>
    <t>Rock &amp; Roll</t>
  </si>
  <si>
    <t>Rosa de la paz</t>
  </si>
  <si>
    <t>Rosita</t>
  </si>
  <si>
    <t>Salir corriendo</t>
  </si>
  <si>
    <t>Salta</t>
  </si>
  <si>
    <t>Si las calles pudieran hablar</t>
  </si>
  <si>
    <t>Siento que te extraño</t>
  </si>
  <si>
    <t>Sin ti no soy nada</t>
  </si>
  <si>
    <t>Soy lo que soy</t>
  </si>
  <si>
    <t>Subamos al cielo</t>
  </si>
  <si>
    <t>Tarde de domingo rara</t>
  </si>
  <si>
    <t>Tarde para cambiar</t>
  </si>
  <si>
    <t>Tardes</t>
  </si>
  <si>
    <t>Te necesito</t>
  </si>
  <si>
    <t>Toda la noche en la calle</t>
  </si>
  <si>
    <t>Un día más</t>
  </si>
  <si>
    <t>Una pequeña parte del mundo</t>
  </si>
  <si>
    <t>Unas veces se gana y otras se pierde</t>
  </si>
  <si>
    <t>Van como locos</t>
  </si>
  <si>
    <t>Volverá la suerte</t>
  </si>
  <si>
    <t>Voy a acabar contigo</t>
  </si>
  <si>
    <t>El Kanka</t>
  </si>
  <si>
    <t>A desobedecer</t>
  </si>
  <si>
    <t>A dieta de dietas</t>
  </si>
  <si>
    <t>Andalucía</t>
  </si>
  <si>
    <t>Ante la duda</t>
  </si>
  <si>
    <t>Ay, vida mía</t>
  </si>
  <si>
    <t>Búsquese una vida</t>
  </si>
  <si>
    <t>Canción final</t>
  </si>
  <si>
    <t>Canela en rama</t>
  </si>
  <si>
    <t>Con el permiso de ustedes</t>
  </si>
  <si>
    <t>Con las ganas</t>
  </si>
  <si>
    <t>Confesión</t>
  </si>
  <si>
    <t>De los errores se aprende</t>
  </si>
  <si>
    <t>Del miércoles al martes</t>
  </si>
  <si>
    <t>Demasiada pasión</t>
  </si>
  <si>
    <t>Desde lejos</t>
  </si>
  <si>
    <t>Después de esta mañana</t>
  </si>
  <si>
    <t>El día de suerte de Pierre Nodoyuna</t>
  </si>
  <si>
    <t>Espero que disfruten de mi sufrimiento</t>
  </si>
  <si>
    <t>Instrucciones para bailar un vals</t>
  </si>
  <si>
    <t>Llámame fino</t>
  </si>
  <si>
    <t>Lo mal que estoy y lo poco que me quejo</t>
  </si>
  <si>
    <t>Me alegra la vista</t>
  </si>
  <si>
    <t>Me gusta</t>
  </si>
  <si>
    <t>No jodan la marrana</t>
  </si>
  <si>
    <t>No se dice suerte</t>
  </si>
  <si>
    <t>No te veo gozar</t>
  </si>
  <si>
    <t>Pagafantas</t>
  </si>
  <si>
    <t>Para eso canto</t>
  </si>
  <si>
    <t>Para quedarte</t>
  </si>
  <si>
    <t>Por matar un gato</t>
  </si>
  <si>
    <t>Por tu olor</t>
  </si>
  <si>
    <t>Pudo pasar</t>
  </si>
  <si>
    <t>Qué bello es vivir</t>
  </si>
  <si>
    <t>Querría</t>
  </si>
  <si>
    <t>Quién me mandaba a mí</t>
  </si>
  <si>
    <t>Refunk</t>
  </si>
  <si>
    <t>Rin rin</t>
  </si>
  <si>
    <t>Señales de humo</t>
  </si>
  <si>
    <t>Sí que puedes</t>
  </si>
  <si>
    <t>Tarde</t>
  </si>
  <si>
    <t>Tienes que saltar</t>
  </si>
  <si>
    <t>Triste trofeo</t>
  </si>
  <si>
    <t>Vengas cuando vengas</t>
  </si>
  <si>
    <t>Vente</t>
  </si>
  <si>
    <t>Volar</t>
  </si>
  <si>
    <t>Alquitrán y carmín</t>
  </si>
  <si>
    <t>Contigo</t>
  </si>
  <si>
    <t>Guapas y guapos</t>
  </si>
  <si>
    <t>Nana para Noam</t>
  </si>
  <si>
    <t>Payaso</t>
  </si>
  <si>
    <t>Prefiero amar</t>
  </si>
  <si>
    <t>Una canción que destrozar</t>
  </si>
  <si>
    <t>A más de mil kilómetros de ti</t>
  </si>
  <si>
    <t>A mi padre</t>
  </si>
  <si>
    <t>A quién le importará</t>
  </si>
  <si>
    <t>A ti, mujer</t>
  </si>
  <si>
    <t>Acércate</t>
  </si>
  <si>
    <t>Acosado</t>
  </si>
  <si>
    <t>Adolescencia</t>
  </si>
  <si>
    <t>Adrián</t>
  </si>
  <si>
    <t>Ahora que llegó la madurez</t>
  </si>
  <si>
    <t>Ahora que te has ido</t>
  </si>
  <si>
    <t>Al otro lado de las montañas azules</t>
  </si>
  <si>
    <t>Al ver pasar a María</t>
  </si>
  <si>
    <t>Amada mía</t>
  </si>
  <si>
    <t>Ámame</t>
  </si>
  <si>
    <t>Amarte así</t>
  </si>
  <si>
    <t>América</t>
  </si>
  <si>
    <t>Amigo</t>
  </si>
  <si>
    <t>Amor adolescente</t>
  </si>
  <si>
    <t>Amor de otoño</t>
  </si>
  <si>
    <t>Amor sin límites</t>
  </si>
  <si>
    <t>Aquella canción de amor</t>
  </si>
  <si>
    <t>Aquella mujer</t>
  </si>
  <si>
    <t>Así te quiero yo</t>
  </si>
  <si>
    <t>Aún te quiero</t>
  </si>
  <si>
    <t>Avelín</t>
  </si>
  <si>
    <t>Ay, corazón</t>
  </si>
  <si>
    <t>Balada para un viejo tren</t>
  </si>
  <si>
    <t>Balada para una despedida</t>
  </si>
  <si>
    <t>Breve como la luz</t>
  </si>
  <si>
    <t>Brindaremos por él</t>
  </si>
  <si>
    <t>Calma</t>
  </si>
  <si>
    <t>Canción de cuna para un gitano</t>
  </si>
  <si>
    <t>Canción de otoño</t>
  </si>
  <si>
    <t>Canción infantil</t>
  </si>
  <si>
    <t>Canción para Guillermo</t>
  </si>
  <si>
    <t>Canción para la Navidad</t>
  </si>
  <si>
    <t>Canción para Manuela</t>
  </si>
  <si>
    <t>Canción para un pastor</t>
  </si>
  <si>
    <t>Canción para un pequeño viajero</t>
  </si>
  <si>
    <t>Canción para un poeta</t>
  </si>
  <si>
    <t>Cántame</t>
  </si>
  <si>
    <t>Cantar una canción</t>
  </si>
  <si>
    <t>Carlo Carusso</t>
  </si>
  <si>
    <t>Carta para María</t>
  </si>
  <si>
    <t>Celos de mi guitarra</t>
  </si>
  <si>
    <t>Cómo decirte</t>
  </si>
  <si>
    <t>Cómo duele el aire</t>
  </si>
  <si>
    <t>Cómo ha pasado el tiempo</t>
  </si>
  <si>
    <t>Cómo llenar mi tiempo</t>
  </si>
  <si>
    <t>Como siempre</t>
  </si>
  <si>
    <t>Como tú y como yo</t>
  </si>
  <si>
    <t>Compraré</t>
  </si>
  <si>
    <t>Compro</t>
  </si>
  <si>
    <t>Corazón Caribe</t>
  </si>
  <si>
    <t>Cosas de Doña Asunción</t>
  </si>
  <si>
    <t>Cuando deje mi tierra</t>
  </si>
  <si>
    <t>Cuando vuelvas</t>
  </si>
  <si>
    <t>De navegar por ti</t>
  </si>
  <si>
    <t>De no ser lo que soy</t>
  </si>
  <si>
    <t>De profesión parao</t>
  </si>
  <si>
    <t>De quién será la culpa</t>
  </si>
  <si>
    <t>Decidieron volar</t>
  </si>
  <si>
    <t>Demonios en Madrid</t>
  </si>
  <si>
    <t>Denise</t>
  </si>
  <si>
    <t>Desamor</t>
  </si>
  <si>
    <t>Desde que te quiero</t>
  </si>
  <si>
    <t>Después de ti</t>
  </si>
  <si>
    <t>Dices que soy hombre triste</t>
  </si>
  <si>
    <t>Diferentes</t>
  </si>
  <si>
    <t>Ecos de sociedad</t>
  </si>
  <si>
    <t>El amo y el mozo</t>
  </si>
  <si>
    <t>El amor</t>
  </si>
  <si>
    <t>El ciego</t>
  </si>
  <si>
    <t>El día que te marches</t>
  </si>
  <si>
    <t>El día que tenga una casa</t>
  </si>
  <si>
    <t>El escultor y ella</t>
  </si>
  <si>
    <t>El hombre y la sirena</t>
  </si>
  <si>
    <t>El invierno</t>
  </si>
  <si>
    <t>El labrador</t>
  </si>
  <si>
    <t>El loco</t>
  </si>
  <si>
    <t>El pregón</t>
  </si>
  <si>
    <t>El reencuentro</t>
  </si>
  <si>
    <t>El regreso</t>
  </si>
  <si>
    <t>El rincón de Andrés</t>
  </si>
  <si>
    <t>El snob</t>
  </si>
  <si>
    <t>El soñador</t>
  </si>
  <si>
    <t>El torerillo</t>
  </si>
  <si>
    <t>Ella y él</t>
  </si>
  <si>
    <t>En un banco de la calle</t>
  </si>
  <si>
    <t>Entre tú y yo</t>
  </si>
  <si>
    <t>Es el amor que llega</t>
  </si>
  <si>
    <t>Es la verdad</t>
  </si>
  <si>
    <t>Es más joven que tú</t>
  </si>
  <si>
    <t>Escuchando esa música</t>
  </si>
  <si>
    <t>Espera un poco más</t>
  </si>
  <si>
    <t>Gente maravillosa</t>
  </si>
  <si>
    <t>Hoy me acordé de ti</t>
  </si>
  <si>
    <t>Hoy sueño con volver</t>
  </si>
  <si>
    <t>Isabel</t>
  </si>
  <si>
    <t>Javier</t>
  </si>
  <si>
    <t>La boda</t>
  </si>
  <si>
    <t>La casada</t>
  </si>
  <si>
    <t>La chica de la playa</t>
  </si>
  <si>
    <t>La espera</t>
  </si>
  <si>
    <t>La madre</t>
  </si>
  <si>
    <t>La música</t>
  </si>
  <si>
    <t>La música de salsa</t>
  </si>
  <si>
    <t>La primera vez</t>
  </si>
  <si>
    <t>La reina del cafetal</t>
  </si>
  <si>
    <t>La rutina</t>
  </si>
  <si>
    <t>La tabaquera</t>
  </si>
  <si>
    <t>La vida</t>
  </si>
  <si>
    <t>Le llamaban loca</t>
  </si>
  <si>
    <t>Lo que fue de los dos</t>
  </si>
  <si>
    <t>Los guerreros</t>
  </si>
  <si>
    <t>Lucía</t>
  </si>
  <si>
    <t>Mañana volverás</t>
  </si>
  <si>
    <t>Marruecos</t>
  </si>
  <si>
    <t>Me duelen</t>
  </si>
  <si>
    <t>Me gusta la palabra libertad</t>
  </si>
  <si>
    <t>Me hablaba de ti</t>
  </si>
  <si>
    <t>Me han contado que existe un paraíso</t>
  </si>
  <si>
    <t>Me iré</t>
  </si>
  <si>
    <t>Me iré calladamente</t>
  </si>
  <si>
    <t>Melodía perdida</t>
  </si>
  <si>
    <t>Mi amigo Luis</t>
  </si>
  <si>
    <t>Mi lugar</t>
  </si>
  <si>
    <t>Mi pueblo se está muriendo</t>
  </si>
  <si>
    <t>Mi soledad</t>
  </si>
  <si>
    <t>Mi último espectador</t>
  </si>
  <si>
    <t>Mientras duermen los niños</t>
  </si>
  <si>
    <t>Mis tópicos</t>
  </si>
  <si>
    <t>Morir de amor</t>
  </si>
  <si>
    <t>Morir por ti</t>
  </si>
  <si>
    <t>Muchacho solitario</t>
  </si>
  <si>
    <t>Nana para mi madre</t>
  </si>
  <si>
    <t>Navidad</t>
  </si>
  <si>
    <t>No es por casualidad</t>
  </si>
  <si>
    <t>No hay preguntas</t>
  </si>
  <si>
    <t>No resulta fácil</t>
  </si>
  <si>
    <t>No se puede tocar</t>
  </si>
  <si>
    <t>No sé si es cierto</t>
  </si>
  <si>
    <t>No sé, no sé</t>
  </si>
  <si>
    <t>No soy uno más</t>
  </si>
  <si>
    <t>No supo decir no</t>
  </si>
  <si>
    <t>No te vayas nunca</t>
  </si>
  <si>
    <t>Nunca sabré</t>
  </si>
  <si>
    <t>Olvídame si puedes</t>
  </si>
  <si>
    <t>Para saber de amor</t>
  </si>
  <si>
    <t>Para vosotros canto</t>
  </si>
  <si>
    <t>Payaso azul</t>
  </si>
  <si>
    <t>Pensando en ti</t>
  </si>
  <si>
    <t>Pequeño gorrión</t>
  </si>
  <si>
    <t>Pequeño marinero</t>
  </si>
  <si>
    <t>Pequeño supermán</t>
  </si>
  <si>
    <t>Podré olvidar</t>
  </si>
  <si>
    <t>Por amor</t>
  </si>
  <si>
    <t>Por qué seguir viviendo</t>
  </si>
  <si>
    <t>Por qué te vas</t>
  </si>
  <si>
    <t>Por ti</t>
  </si>
  <si>
    <t>Primer amor</t>
  </si>
  <si>
    <t>Que canten los niños</t>
  </si>
  <si>
    <t>Qué habrá sido de él</t>
  </si>
  <si>
    <t>Qué más quisiera yo</t>
  </si>
  <si>
    <t>Qué pasará mañana</t>
  </si>
  <si>
    <t>Qué triste se te ve</t>
  </si>
  <si>
    <t>Quédate conmigo</t>
  </si>
  <si>
    <t>Quiero ser agua fresca</t>
  </si>
  <si>
    <t>Quisiera decir tu nombre</t>
  </si>
  <si>
    <t>Recuerdo un tren</t>
  </si>
  <si>
    <t>Rosalí</t>
  </si>
  <si>
    <t>S.O.S.</t>
  </si>
  <si>
    <t>Samaritanas del amor</t>
  </si>
  <si>
    <t>Santo Domingo</t>
  </si>
  <si>
    <t>Se equivocó el azar</t>
  </si>
  <si>
    <t>Señor X</t>
  </si>
  <si>
    <t>Sí</t>
  </si>
  <si>
    <t>Si a ti te hubieran dicho</t>
  </si>
  <si>
    <t>Si no estuvieras tú</t>
  </si>
  <si>
    <t>Si pudiera</t>
  </si>
  <si>
    <t>Si quieres encontrarme</t>
  </si>
  <si>
    <t>Si supieras</t>
  </si>
  <si>
    <t>Siéntate</t>
  </si>
  <si>
    <t>Soledades</t>
  </si>
  <si>
    <t>Supervivientes</t>
  </si>
  <si>
    <t>Tal vez quieras volver</t>
  </si>
  <si>
    <t>Tan sólo necesito</t>
  </si>
  <si>
    <t>Te echo de menos</t>
  </si>
  <si>
    <t>Te has quedado en mí</t>
  </si>
  <si>
    <t>Te quiero tanto</t>
  </si>
  <si>
    <t>Tentación</t>
  </si>
  <si>
    <t>Tiempo de amor</t>
  </si>
  <si>
    <t>Tu carta</t>
  </si>
  <si>
    <t>Tú como yo</t>
  </si>
  <si>
    <t>Tú me pareces</t>
  </si>
  <si>
    <t>Tu país</t>
  </si>
  <si>
    <t>Tú, el más olvidado</t>
  </si>
  <si>
    <t>Un minuto de amor</t>
  </si>
  <si>
    <t>Un velero llamado libertad</t>
  </si>
  <si>
    <t>Una canción llamada Soledad</t>
  </si>
  <si>
    <t>Una canción para la paz</t>
  </si>
  <si>
    <t>Una locura</t>
  </si>
  <si>
    <t>Una raza especial</t>
  </si>
  <si>
    <t>Viendo pasar los trenes</t>
  </si>
  <si>
    <t>Voy a volverme loco</t>
  </si>
  <si>
    <t>Y cómo es él</t>
  </si>
  <si>
    <t>Y me marché contigo</t>
  </si>
  <si>
    <t>Y sigo enamorado</t>
  </si>
  <si>
    <t>Y soñará</t>
  </si>
  <si>
    <t>Y te vas</t>
  </si>
  <si>
    <t>Ya no te quiero</t>
  </si>
  <si>
    <t>Yo quiero ser</t>
  </si>
  <si>
    <t>Yo también tuve quince años</t>
  </si>
  <si>
    <t>José Luis Perales</t>
  </si>
  <si>
    <t>Ondas do mar de Vigo</t>
  </si>
  <si>
    <t>Mares igual que tú</t>
  </si>
  <si>
    <t>Señales</t>
  </si>
  <si>
    <t>Nuestro tiempo</t>
  </si>
  <si>
    <t>Bien alta la mirada</t>
  </si>
  <si>
    <t>Peces de colores</t>
  </si>
  <si>
    <t>Tambores de la rebelión</t>
  </si>
  <si>
    <t>Juguetes rotos</t>
  </si>
  <si>
    <t>Ruido</t>
  </si>
  <si>
    <t>Lluvia</t>
  </si>
  <si>
    <t>Entre la multitud</t>
  </si>
  <si>
    <t>Halconera</t>
  </si>
  <si>
    <t>El Canto del Loco</t>
  </si>
  <si>
    <t>Pequeñita</t>
  </si>
  <si>
    <t>Llueve en mí</t>
  </si>
  <si>
    <t>Eres un canalla</t>
  </si>
  <si>
    <t>Pasión</t>
  </si>
  <si>
    <t>Traidora</t>
  </si>
  <si>
    <t>He vuelto a caer</t>
  </si>
  <si>
    <t>Sin mitad</t>
  </si>
  <si>
    <t>No quiero nada</t>
  </si>
  <si>
    <t>El agricultor</t>
  </si>
  <si>
    <t>Y si el miedo</t>
  </si>
  <si>
    <t>Busco la vida</t>
  </si>
  <si>
    <t>Vivir así es morir de amor</t>
  </si>
  <si>
    <t>Son sueños</t>
  </si>
  <si>
    <t>Preguntas</t>
  </si>
  <si>
    <t>Vámonos</t>
  </si>
  <si>
    <t>Puede ser</t>
  </si>
  <si>
    <t>A contracorriente</t>
  </si>
  <si>
    <t>Una salida</t>
  </si>
  <si>
    <t>Tremendo</t>
  </si>
  <si>
    <t>Súper héroe</t>
  </si>
  <si>
    <t>Para siempre</t>
  </si>
  <si>
    <t>Crash</t>
  </si>
  <si>
    <t>Aquellos años locos</t>
  </si>
  <si>
    <t>Volver a disfrutar</t>
  </si>
  <si>
    <t>La madre de José</t>
  </si>
  <si>
    <t>Ya nada volverá a ser como antes</t>
  </si>
  <si>
    <t>Insoportable</t>
  </si>
  <si>
    <t>Dentro de mí</t>
  </si>
  <si>
    <t>Otra vez</t>
  </si>
  <si>
    <t>Siempre cerca</t>
  </si>
  <si>
    <t>Como un perro ladrando</t>
  </si>
  <si>
    <t>Equis</t>
  </si>
  <si>
    <t>Una foto en blanco y negro</t>
  </si>
  <si>
    <t>No voy a parar</t>
  </si>
  <si>
    <t>Te recuerdo</t>
  </si>
  <si>
    <t>Canciones</t>
  </si>
  <si>
    <t>Volverá</t>
  </si>
  <si>
    <t>Zapatillas</t>
  </si>
  <si>
    <t>Será</t>
  </si>
  <si>
    <t>Besos</t>
  </si>
  <si>
    <t>Despiértame</t>
  </si>
  <si>
    <t>Úsanos</t>
  </si>
  <si>
    <t>Qué caro es el tiempo</t>
  </si>
  <si>
    <t>Desaparece</t>
  </si>
  <si>
    <t>Tal como eres</t>
  </si>
  <si>
    <t>Corazón</t>
  </si>
  <si>
    <t>Acabado en A</t>
  </si>
  <si>
    <t>Eres tonto</t>
  </si>
  <si>
    <t>Peter Pan</t>
  </si>
  <si>
    <t>Personas</t>
  </si>
  <si>
    <t>Fin de semana</t>
  </si>
  <si>
    <t>Eh, tú</t>
  </si>
  <si>
    <t>Todo lo hago mal</t>
  </si>
  <si>
    <t>La suerte de mi vida</t>
  </si>
  <si>
    <t>Un millón de cicatrices</t>
  </si>
  <si>
    <t>Gigante</t>
  </si>
  <si>
    <t>Gracias</t>
  </si>
  <si>
    <t>La casa de la bomba</t>
  </si>
  <si>
    <t>Aunque tú no lo sepas</t>
  </si>
  <si>
    <t>No puedo vivir sin ti</t>
  </si>
  <si>
    <t>Aquellas pequeñas cosas</t>
  </si>
  <si>
    <t>Años 80</t>
  </si>
  <si>
    <t>Se acabó</t>
  </si>
  <si>
    <t>Feo, fuerte y formal</t>
  </si>
  <si>
    <t>Consúmeme</t>
  </si>
  <si>
    <t>Contigo aprenderé</t>
  </si>
  <si>
    <t>De haber sido en Madrid</t>
  </si>
  <si>
    <t>Diciembre y no estás</t>
  </si>
  <si>
    <t>Gris oscuro</t>
  </si>
  <si>
    <t>Heridas</t>
  </si>
  <si>
    <t>Malditas ganas</t>
  </si>
  <si>
    <t>Mariposas</t>
  </si>
  <si>
    <t>Me miento mal</t>
  </si>
  <si>
    <t>Mientras tanto</t>
  </si>
  <si>
    <t>No te quiero ver llorar</t>
  </si>
  <si>
    <t>Otra mitad</t>
  </si>
  <si>
    <t>Perpendicular</t>
  </si>
  <si>
    <t>Roma</t>
  </si>
  <si>
    <t>Somos fuego</t>
  </si>
  <si>
    <t>Y cuando no</t>
  </si>
  <si>
    <t>I love you</t>
  </si>
  <si>
    <t>Espiral</t>
  </si>
  <si>
    <t>Tienes decidido, a pesar de todo, irte</t>
  </si>
  <si>
    <t>Me va a doler</t>
  </si>
  <si>
    <t>C'est la vie</t>
  </si>
  <si>
    <t>Que ni para odiarle se me da la licencia</t>
  </si>
  <si>
    <t>Sin venganza</t>
  </si>
  <si>
    <t>Flores y vino</t>
  </si>
  <si>
    <t>Bely Basarte</t>
  </si>
  <si>
    <t>Ismael Serrano</t>
  </si>
  <si>
    <t>Funambulista</t>
  </si>
  <si>
    <t>Lagarto Amarillo</t>
  </si>
  <si>
    <t>Maldita Nerea</t>
  </si>
  <si>
    <t>Tontxu</t>
  </si>
  <si>
    <t>Asuntos pendientes</t>
  </si>
  <si>
    <t>Bendita mi suerte</t>
  </si>
  <si>
    <t>Como un idiota</t>
  </si>
  <si>
    <t>Cosas que no quise decirte</t>
  </si>
  <si>
    <t>Demasiado buena</t>
  </si>
  <si>
    <t>Doctor Desastre</t>
  </si>
  <si>
    <t>El tango que me parió</t>
  </si>
  <si>
    <t>Fiera</t>
  </si>
  <si>
    <t>Hecho con tus sueños</t>
  </si>
  <si>
    <t>Lo sé</t>
  </si>
  <si>
    <t>Loco</t>
  </si>
  <si>
    <t>Me inventaré</t>
  </si>
  <si>
    <t>Mírame</t>
  </si>
  <si>
    <t>Paro de contar</t>
  </si>
  <si>
    <t>Portería</t>
  </si>
  <si>
    <t>Quédate</t>
  </si>
  <si>
    <t>Quiero que vuelvas</t>
  </si>
  <si>
    <t>Sin argumentos</t>
  </si>
  <si>
    <t>Sólo luz</t>
  </si>
  <si>
    <t>Tiemblo</t>
  </si>
  <si>
    <t>Tuvimos suerte</t>
  </si>
  <si>
    <t>Volver a empezar</t>
  </si>
  <si>
    <t>Y yo</t>
  </si>
  <si>
    <t>Ya verás</t>
  </si>
  <si>
    <t>Ahoraluego</t>
  </si>
  <si>
    <t>Al calor del invierno</t>
  </si>
  <si>
    <t>Anoche</t>
  </si>
  <si>
    <t>Arriba</t>
  </si>
  <si>
    <t>Campeón</t>
  </si>
  <si>
    <t>Como las estrellas</t>
  </si>
  <si>
    <t>Crío</t>
  </si>
  <si>
    <t>Cuenta hasta diez</t>
  </si>
  <si>
    <t>Cuéntame</t>
  </si>
  <si>
    <t>Culpable</t>
  </si>
  <si>
    <t>Dame un cigarrito a ver qué tal</t>
  </si>
  <si>
    <t>Decirte adiós</t>
  </si>
  <si>
    <t>Dejarse la piel</t>
  </si>
  <si>
    <t>Desapareciendo</t>
  </si>
  <si>
    <t>Donde duele</t>
  </si>
  <si>
    <t>El alma a besos</t>
  </si>
  <si>
    <t>El huracán</t>
  </si>
  <si>
    <t>El último día</t>
  </si>
  <si>
    <t>Entre nubes</t>
  </si>
  <si>
    <t>Hoy</t>
  </si>
  <si>
    <t>Lejos de veras</t>
  </si>
  <si>
    <t>Lo entiendo todo</t>
  </si>
  <si>
    <t>Los domingos por la tarde</t>
  </si>
  <si>
    <t>Lucharé</t>
  </si>
  <si>
    <t>Mano rota</t>
  </si>
  <si>
    <t>Mañana me voy</t>
  </si>
  <si>
    <t>Mentira</t>
  </si>
  <si>
    <t>Mi mundo ideal</t>
  </si>
  <si>
    <t>Na, na</t>
  </si>
  <si>
    <t>No somos nadie</t>
  </si>
  <si>
    <t>Parte de mí</t>
  </si>
  <si>
    <t>Paso</t>
  </si>
  <si>
    <t>Pecosa</t>
  </si>
  <si>
    <t>Perdón y amén</t>
  </si>
  <si>
    <t>Por eso</t>
  </si>
  <si>
    <t>Pueblo rico</t>
  </si>
  <si>
    <t>Que la suerte te acompañe</t>
  </si>
  <si>
    <t>Qué será que tienes</t>
  </si>
  <si>
    <t>Septiembre</t>
  </si>
  <si>
    <t>Siempre y cuando</t>
  </si>
  <si>
    <t>Sobrevuelo</t>
  </si>
  <si>
    <t>Soleá</t>
  </si>
  <si>
    <t>Tengo un amigo alemán</t>
  </si>
  <si>
    <t>Tú que vas</t>
  </si>
  <si>
    <t>Un día inolvidable</t>
  </si>
  <si>
    <t>Un poquito más pacá del más allá</t>
  </si>
  <si>
    <t>Una vez más</t>
  </si>
  <si>
    <t>Volaíto</t>
  </si>
  <si>
    <t>Yo nunca quise</t>
  </si>
  <si>
    <t>A quien quiera escuchar</t>
  </si>
  <si>
    <t>Abrí los ojos</t>
  </si>
  <si>
    <t>Al beso siguiente</t>
  </si>
  <si>
    <t>Aunque ni siquiera existas</t>
  </si>
  <si>
    <t>Bailarina</t>
  </si>
  <si>
    <t>Calcetines</t>
  </si>
  <si>
    <t>Cariño, yo sólo quiero llamar</t>
  </si>
  <si>
    <t>Con lo que nos hemos dado</t>
  </si>
  <si>
    <t>Con trocitos</t>
  </si>
  <si>
    <t>Con una estrella en cada mano</t>
  </si>
  <si>
    <t>Cuando todas las historias se acaban</t>
  </si>
  <si>
    <t>Cuarto creciente</t>
  </si>
  <si>
    <t>Desde las nubes</t>
  </si>
  <si>
    <t>Despídeme</t>
  </si>
  <si>
    <t>Después de todos estos años</t>
  </si>
  <si>
    <t>El error</t>
  </si>
  <si>
    <t>El secreto de las tortugas</t>
  </si>
  <si>
    <t>En el mundo genial de las cosas que dices</t>
  </si>
  <si>
    <t>Fácil</t>
  </si>
  <si>
    <t>Hace tiempo que dices</t>
  </si>
  <si>
    <t>La canción de Ana</t>
  </si>
  <si>
    <t>La canción que no termina</t>
  </si>
  <si>
    <t>La gran mentira</t>
  </si>
  <si>
    <t>La raya</t>
  </si>
  <si>
    <t>La respuesta no es la huida</t>
  </si>
  <si>
    <t>Los abrazos que quedan</t>
  </si>
  <si>
    <t>Me contó</t>
  </si>
  <si>
    <t>Me pesan las alas</t>
  </si>
  <si>
    <t>Mi pequeño invierno</t>
  </si>
  <si>
    <t>Mi rey y yo</t>
  </si>
  <si>
    <t>Mi única verdad</t>
  </si>
  <si>
    <t>Mira dentro</t>
  </si>
  <si>
    <t>Ninguno de dos</t>
  </si>
  <si>
    <t>No pide tanto, idiota</t>
  </si>
  <si>
    <t>No queda nadie</t>
  </si>
  <si>
    <t>Nunca estarás sola</t>
  </si>
  <si>
    <t>Perdona si te llamo amor</t>
  </si>
  <si>
    <t>Piedra, papel o tijera</t>
  </si>
  <si>
    <t>Por el miedo a equivocarnos</t>
  </si>
  <si>
    <t>Que no es verdad</t>
  </si>
  <si>
    <t>Quiero verte alrededor</t>
  </si>
  <si>
    <t>Sabes demasiado</t>
  </si>
  <si>
    <t>Se está haciendo tarde</t>
  </si>
  <si>
    <t>Seis</t>
  </si>
  <si>
    <t>Siempre estaré ahí</t>
  </si>
  <si>
    <t>Sobraron precipicios</t>
  </si>
  <si>
    <t>Te hablaré</t>
  </si>
  <si>
    <t>Te merece la pena</t>
  </si>
  <si>
    <t>Todo está perfecto</t>
  </si>
  <si>
    <t>Tú eres la vida</t>
  </si>
  <si>
    <t>Tu mirada me hace grande</t>
  </si>
  <si>
    <t>Veré la estrella</t>
  </si>
  <si>
    <t>Verso acabado. Punto</t>
  </si>
  <si>
    <t>A la rueda</t>
  </si>
  <si>
    <t>Algo contigo</t>
  </si>
  <si>
    <t>Amelie</t>
  </si>
  <si>
    <t>Ángel de puntillas</t>
  </si>
  <si>
    <t>Aplausos</t>
  </si>
  <si>
    <t>As de guía</t>
  </si>
  <si>
    <t>Bossalafate</t>
  </si>
  <si>
    <t>Buscándote</t>
  </si>
  <si>
    <t>Canciones prudentes de amor</t>
  </si>
  <si>
    <t>Chacarrera de Leire</t>
  </si>
  <si>
    <t>Chat</t>
  </si>
  <si>
    <t>Chueca</t>
  </si>
  <si>
    <t>Cicatrizando</t>
  </si>
  <si>
    <t>Con un canto en los dientes</t>
  </si>
  <si>
    <t>Contacto con la realidad</t>
  </si>
  <si>
    <t>Contigo puedo ser yo</t>
  </si>
  <si>
    <t>Copas en un bar</t>
  </si>
  <si>
    <t>Corazón de mudanza</t>
  </si>
  <si>
    <t>Creo en ti</t>
  </si>
  <si>
    <t>De lo que dije anoche</t>
  </si>
  <si>
    <t>Dejar de quererte</t>
  </si>
  <si>
    <t>Doble moral</t>
  </si>
  <si>
    <t>Dominó</t>
  </si>
  <si>
    <t>El cambio de timón de los 70</t>
  </si>
  <si>
    <t>El destino de mi corazón</t>
  </si>
  <si>
    <t>En el medio</t>
  </si>
  <si>
    <t>Enero</t>
  </si>
  <si>
    <t>Entiendes</t>
  </si>
  <si>
    <t>Espíritu de contradicción</t>
  </si>
  <si>
    <t>Estás haciéndolo mal</t>
  </si>
  <si>
    <t>Fue solamente un beso</t>
  </si>
  <si>
    <t>Fuego apagado</t>
  </si>
  <si>
    <t>Gila</t>
  </si>
  <si>
    <t>Gota de agua</t>
  </si>
  <si>
    <t>Habitación 304</t>
  </si>
  <si>
    <t>Homenaje a la mandrágora</t>
  </si>
  <si>
    <t>Humo y viento</t>
  </si>
  <si>
    <t>La canción del cotilla</t>
  </si>
  <si>
    <t>La guerra más hermosa del mundo</t>
  </si>
  <si>
    <t>La otra cara del amor</t>
  </si>
  <si>
    <t>La raíz</t>
  </si>
  <si>
    <t>La rumba la suegra</t>
  </si>
  <si>
    <t>La sinceridad como bandera</t>
  </si>
  <si>
    <t>Libre</t>
  </si>
  <si>
    <t>Los fantasmas de su niñez</t>
  </si>
  <si>
    <t>Los muñecos quitapenas</t>
  </si>
  <si>
    <t>Madrid – Barcelona</t>
  </si>
  <si>
    <t>Margot</t>
  </si>
  <si>
    <t>Marinero madrileño</t>
  </si>
  <si>
    <t>Mataría a todo el mundo</t>
  </si>
  <si>
    <t>Medicamentos para amar</t>
  </si>
  <si>
    <t>Mi máquina en tu vientre</t>
  </si>
  <si>
    <t>Mientes</t>
  </si>
  <si>
    <t>Monedita de mamá</t>
  </si>
  <si>
    <t>Niña anciana</t>
  </si>
  <si>
    <t>No vale la pena</t>
  </si>
  <si>
    <t>Para tocar el cielo</t>
  </si>
  <si>
    <t>Pero no puedo</t>
  </si>
  <si>
    <t>Príncipe azul</t>
  </si>
  <si>
    <t>Qué fue aquello</t>
  </si>
  <si>
    <t>Qué haría yo sin ti</t>
  </si>
  <si>
    <t>Querida Marta</t>
  </si>
  <si>
    <t>Referente</t>
  </si>
  <si>
    <t>Reina</t>
  </si>
  <si>
    <t>Risk</t>
  </si>
  <si>
    <t>Sagrada</t>
  </si>
  <si>
    <t>Saldo cero</t>
  </si>
  <si>
    <t>Se vende</t>
  </si>
  <si>
    <t>Si esto se acaba</t>
  </si>
  <si>
    <t>Si no es contigo</t>
  </si>
  <si>
    <t>Somos de colores</t>
  </si>
  <si>
    <t>Te amaré mejor</t>
  </si>
  <si>
    <t>Te cantaré</t>
  </si>
  <si>
    <t>Temprana</t>
  </si>
  <si>
    <t>Todo para los demás</t>
  </si>
  <si>
    <t>Todos dicen te quiero</t>
  </si>
  <si>
    <t>Treinta y tantos</t>
  </si>
  <si>
    <t>Tus modos</t>
  </si>
  <si>
    <t>Una rosa blanca</t>
  </si>
  <si>
    <t>Volvería a tropezar en esa piedra</t>
  </si>
  <si>
    <t>Vuelvo</t>
  </si>
  <si>
    <t>Yo no he sido</t>
  </si>
  <si>
    <t>Yo quiero cantar</t>
  </si>
  <si>
    <t>A las madres de mayo</t>
  </si>
  <si>
    <t>Absoluto</t>
  </si>
  <si>
    <t>Agua y aceite</t>
  </si>
  <si>
    <t>Aguas abril</t>
  </si>
  <si>
    <t>Ahora</t>
  </si>
  <si>
    <t>Ahora que te encuentro</t>
  </si>
  <si>
    <t>Al bando vencido</t>
  </si>
  <si>
    <t>Alicia</t>
  </si>
  <si>
    <t>Allí</t>
  </si>
  <si>
    <t>Amo tanto la vida</t>
  </si>
  <si>
    <t>Amores imposibles</t>
  </si>
  <si>
    <t>Ana</t>
  </si>
  <si>
    <t>Apenas sé nada de la vida</t>
  </si>
  <si>
    <t>Aquella tarde</t>
  </si>
  <si>
    <t>Atrapados en azul</t>
  </si>
  <si>
    <t>Balance</t>
  </si>
  <si>
    <t>Buenos Aires 2001</t>
  </si>
  <si>
    <t>Busco una canción</t>
  </si>
  <si>
    <t>Caballo de cartón</t>
  </si>
  <si>
    <t>Canción de amor propio</t>
  </si>
  <si>
    <t>Canción de amor y oficina</t>
  </si>
  <si>
    <t>Canción para un viejo amigo</t>
  </si>
  <si>
    <t>Candombe para olvidar</t>
  </si>
  <si>
    <t>Caperucita</t>
  </si>
  <si>
    <t>Casandra</t>
  </si>
  <si>
    <t>Chove en Santiago</t>
  </si>
  <si>
    <t>Cien días</t>
  </si>
  <si>
    <t>Cobertura: 95 % del territorio nacional</t>
  </si>
  <si>
    <t>Como la cigarra</t>
  </si>
  <si>
    <t>Con los cinco pinares</t>
  </si>
  <si>
    <t>Con una pena de muerte</t>
  </si>
  <si>
    <t>Crucé un océano</t>
  </si>
  <si>
    <t>Déjate convencer</t>
  </si>
  <si>
    <t>Despierta</t>
  </si>
  <si>
    <t>Dónde estarás</t>
  </si>
  <si>
    <t>Dos kilómetros de paciencia</t>
  </si>
  <si>
    <t>Duermes</t>
  </si>
  <si>
    <t>Dulce memoria</t>
  </si>
  <si>
    <t>El aparecido</t>
  </si>
  <si>
    <t>El camino de regreso</t>
  </si>
  <si>
    <t>El día de la ira</t>
  </si>
  <si>
    <t>El espejismo</t>
  </si>
  <si>
    <t>El hueco en el que anido</t>
  </si>
  <si>
    <t>El último cantautor</t>
  </si>
  <si>
    <t>El vals de los jubilados</t>
  </si>
  <si>
    <t>El virus del miedo</t>
  </si>
  <si>
    <t>Elegía</t>
  </si>
  <si>
    <t>Éramos tan jóvenes</t>
  </si>
  <si>
    <t>Eres</t>
  </si>
  <si>
    <t>Estamos a salvo</t>
  </si>
  <si>
    <t>Fragilidad</t>
  </si>
  <si>
    <t>Fue terrible aquel año</t>
  </si>
  <si>
    <t>Habitantes de Alfa-Centauro encuentran la sonda Voyager</t>
  </si>
  <si>
    <t>Habrá que someter a referéndum</t>
  </si>
  <si>
    <t>Has de saber</t>
  </si>
  <si>
    <t>Hija de Lilith</t>
  </si>
  <si>
    <t>Instrucciones para salvar el odio eternamente</t>
  </si>
  <si>
    <t>Jóvenes y hermosos</t>
  </si>
  <si>
    <t>Km. 0</t>
  </si>
  <si>
    <t>La casa encantada</t>
  </si>
  <si>
    <t>La casa y el lobo</t>
  </si>
  <si>
    <t>La cita</t>
  </si>
  <si>
    <t>La ciudad de los muertos</t>
  </si>
  <si>
    <t>La ciudad parece un mundo</t>
  </si>
  <si>
    <t>La cordura</t>
  </si>
  <si>
    <t>La extraña pareja</t>
  </si>
  <si>
    <t>La huida</t>
  </si>
  <si>
    <t>La llamada</t>
  </si>
  <si>
    <t>La locura</t>
  </si>
  <si>
    <t>La mujer más vieja del mundo</t>
  </si>
  <si>
    <t>Las cuatro y diez</t>
  </si>
  <si>
    <t>Lo que hay que aguantar</t>
  </si>
  <si>
    <t>Luces errantes</t>
  </si>
  <si>
    <t>Mañana porteña en Madrid</t>
  </si>
  <si>
    <t>Mensaje en el contestador</t>
  </si>
  <si>
    <t>México insurgente</t>
  </si>
  <si>
    <t>Mi problema</t>
  </si>
  <si>
    <t>Mi vida, no hay derecho</t>
  </si>
  <si>
    <t>Mientras tú llegas</t>
  </si>
  <si>
    <t>Mira que eres canalla</t>
  </si>
  <si>
    <t>Muchacha (Ojos de papel)</t>
  </si>
  <si>
    <t>Nieve</t>
  </si>
  <si>
    <t>No estarás sola</t>
  </si>
  <si>
    <t>No reconozco</t>
  </si>
  <si>
    <t>Observando las estrellas</t>
  </si>
  <si>
    <t>Ojalá</t>
  </si>
  <si>
    <t>Oxímoron</t>
  </si>
  <si>
    <t>Pájaros en la cabeza</t>
  </si>
  <si>
    <t>Palabras para Julia</t>
  </si>
  <si>
    <t>Papá, cuéntame otra vez</t>
  </si>
  <si>
    <t>Papel encontrado en la cocina</t>
  </si>
  <si>
    <t>Para médicos y amantes</t>
  </si>
  <si>
    <t>Penélope espera en Peumayén</t>
  </si>
  <si>
    <t>Pequeña bachata mediterránea</t>
  </si>
  <si>
    <t>Pequeña criatura</t>
  </si>
  <si>
    <t>Plaza Garibaldi</t>
  </si>
  <si>
    <t>Por fin te encontré</t>
  </si>
  <si>
    <t>Prende la luz</t>
  </si>
  <si>
    <t>Principio de incertidumbre</t>
  </si>
  <si>
    <t>Qué andarás haciendo</t>
  </si>
  <si>
    <t>Qué va a ser de mí</t>
  </si>
  <si>
    <t>Quisiera</t>
  </si>
  <si>
    <t>Rebelión en Hamelin</t>
  </si>
  <si>
    <t>Recuerdo</t>
  </si>
  <si>
    <t>Regalo para un primer cumpleaños</t>
  </si>
  <si>
    <t>Regresa</t>
  </si>
  <si>
    <t>Reina del súper</t>
  </si>
  <si>
    <t>Se ha enredado en tu cabello</t>
  </si>
  <si>
    <t>Semana</t>
  </si>
  <si>
    <t>Sesión continua</t>
  </si>
  <si>
    <t>Si Peter Pan viniera</t>
  </si>
  <si>
    <t>Si se callase el ruido</t>
  </si>
  <si>
    <t>Sin ti a mi lado</t>
  </si>
  <si>
    <t>Somos</t>
  </si>
  <si>
    <t>Spaghetti del rock</t>
  </si>
  <si>
    <t>Sucede que a veces</t>
  </si>
  <si>
    <t>Tantas cosas</t>
  </si>
  <si>
    <t>Te conocí</t>
  </si>
  <si>
    <t>Te debo una canción</t>
  </si>
  <si>
    <t>Te odio</t>
  </si>
  <si>
    <t>Te vas</t>
  </si>
  <si>
    <t>Te vi</t>
  </si>
  <si>
    <t>Testamento vital</t>
  </si>
  <si>
    <t>Tierna y dulce historia de amor</t>
  </si>
  <si>
    <t>Todo cambia</t>
  </si>
  <si>
    <t>Todo empieza y todo acaba en ti</t>
  </si>
  <si>
    <t>Tu susurro</t>
  </si>
  <si>
    <t>Últimamente</t>
  </si>
  <si>
    <t>Un destello de felicidad</t>
  </si>
  <si>
    <t>Un hombre que espera en el desierto</t>
  </si>
  <si>
    <t>Un muerto encierras</t>
  </si>
  <si>
    <t>Una historia de Alvite</t>
  </si>
  <si>
    <t>Ven</t>
  </si>
  <si>
    <t>Vértigo</t>
  </si>
  <si>
    <t>Vine del norte</t>
  </si>
  <si>
    <t>Volveré temprano</t>
  </si>
  <si>
    <t>Volveremos</t>
  </si>
  <si>
    <t>Vuelvo a Madrid</t>
  </si>
  <si>
    <t>Y sin embargo</t>
  </si>
  <si>
    <t>Ya llegó la primavera</t>
  </si>
  <si>
    <t>Ya nada es lo que era</t>
  </si>
  <si>
    <t>Ya quisiera yo</t>
  </si>
  <si>
    <t>Ya se van los pastores</t>
  </si>
  <si>
    <t>Ya ves</t>
  </si>
  <si>
    <t>Yo era un tipo solitario</t>
  </si>
  <si>
    <t>Yo quiero ser muy promiscuo</t>
  </si>
  <si>
    <t>Zamba del emigrante</t>
  </si>
  <si>
    <t>Dulce y tierna historia de amor</t>
  </si>
  <si>
    <t>Eres aire</t>
  </si>
  <si>
    <t>Si después de darte amor</t>
  </si>
  <si>
    <t>Éramos reyes</t>
  </si>
  <si>
    <t>Esa luz</t>
  </si>
  <si>
    <t>Viento a favor</t>
  </si>
  <si>
    <t>La vida de antes</t>
  </si>
  <si>
    <t>Reina de la colmena</t>
  </si>
  <si>
    <t>Líneas paralelas</t>
  </si>
  <si>
    <t>Aquí estaré yo</t>
  </si>
  <si>
    <t>Valiente y libre</t>
  </si>
  <si>
    <t>Verlos bailar</t>
  </si>
  <si>
    <t>Difícil olvidarte</t>
  </si>
  <si>
    <t>Presente perfecto continuo</t>
  </si>
  <si>
    <t>Sencillamente sencillo</t>
  </si>
  <si>
    <t>La zambra del finlandés</t>
  </si>
  <si>
    <t>Multinacional</t>
  </si>
  <si>
    <t>La breve</t>
  </si>
  <si>
    <t>Nueva casa</t>
  </si>
  <si>
    <t>Original</t>
  </si>
  <si>
    <t>Tobby &amp; Mary</t>
  </si>
  <si>
    <t>Praga</t>
  </si>
  <si>
    <t>Adolescente</t>
  </si>
  <si>
    <t>Inventario</t>
  </si>
  <si>
    <t>Tango del quinielista</t>
  </si>
  <si>
    <t>40 Orsett Terrace</t>
  </si>
  <si>
    <t>Canción para las manos de un soldado</t>
  </si>
  <si>
    <t>Palabras como cuerpos</t>
  </si>
  <si>
    <t>Mi vecino de arriba</t>
  </si>
  <si>
    <t>Calle melancolía</t>
  </si>
  <si>
    <t>Qué demasiao (Una canción para el Jaro)</t>
  </si>
  <si>
    <t>Carguen, apunten, fuego</t>
  </si>
  <si>
    <t>Gulliver</t>
  </si>
  <si>
    <t>Círculos viciosos</t>
  </si>
  <si>
    <t>Pongamos que hablo de Madrid</t>
  </si>
  <si>
    <t>Manual para héroes o canallas</t>
  </si>
  <si>
    <t>Bruja</t>
  </si>
  <si>
    <t>Mi amigo Satán</t>
  </si>
  <si>
    <t>Ocupen su localidad</t>
  </si>
  <si>
    <t>Guerra mundial</t>
  </si>
  <si>
    <t>Eh, Sabina</t>
  </si>
  <si>
    <t>Negra noche</t>
  </si>
  <si>
    <t>Ring, ring, ring</t>
  </si>
  <si>
    <t>Por el túnel</t>
  </si>
  <si>
    <t>Pisa el acelerador</t>
  </si>
  <si>
    <t>Cuando era más joven</t>
  </si>
  <si>
    <t>El joven aprendiz de pintor</t>
  </si>
  <si>
    <t>Rebajas de enero</t>
  </si>
  <si>
    <t>Quédate a dormir</t>
  </si>
  <si>
    <t>Así estoy yo sin ti</t>
  </si>
  <si>
    <t>Que se llama Soledad</t>
  </si>
  <si>
    <t>Besos de Judas</t>
  </si>
  <si>
    <t>Oiga, doctor</t>
  </si>
  <si>
    <t>Amores eternos</t>
  </si>
  <si>
    <t>Mónica</t>
  </si>
  <si>
    <t>Cuernos</t>
  </si>
  <si>
    <t>Eva tomando el sol</t>
  </si>
  <si>
    <t>Besos en la frente</t>
  </si>
  <si>
    <t>Una de romanos</t>
  </si>
  <si>
    <t>Locos de atar</t>
  </si>
  <si>
    <t>Nacidos para perder</t>
  </si>
  <si>
    <t>Peligro de incendio</t>
  </si>
  <si>
    <t>Al ladrón, al ladrón</t>
  </si>
  <si>
    <t>Cuando aprieta el frío</t>
  </si>
  <si>
    <t>Los perros del amanecer</t>
  </si>
  <si>
    <t>Eclipse de mar</t>
  </si>
  <si>
    <t>Pobre Cristina</t>
  </si>
  <si>
    <t>El muro de Berlín</t>
  </si>
  <si>
    <t>Mentiras piadosas</t>
  </si>
  <si>
    <t>Con un par</t>
  </si>
  <si>
    <t>Corre, dijo la tortuga</t>
  </si>
  <si>
    <t>Con la frente marchita</t>
  </si>
  <si>
    <t>Y nos dieron las diez</t>
  </si>
  <si>
    <t>Yo quiero ser una chica Almodóvar</t>
  </si>
  <si>
    <t>A la orilla de la chimenea</t>
  </si>
  <si>
    <t>Todos menos tú</t>
  </si>
  <si>
    <t>La canción de las noches perdidas</t>
  </si>
  <si>
    <t>Los cuentos que yo cuento</t>
  </si>
  <si>
    <t>Peor para el sol</t>
  </si>
  <si>
    <t>Amor se llama el juego</t>
  </si>
  <si>
    <t>Pastillas para no soñar</t>
  </si>
  <si>
    <t>Incluso en estos tiempos</t>
  </si>
  <si>
    <t>Siete crisantemos</t>
  </si>
  <si>
    <t>Besos con sal</t>
  </si>
  <si>
    <t>El blues de lo que pasa en mi escalera</t>
  </si>
  <si>
    <t>Como un explorador</t>
  </si>
  <si>
    <t>Mujeres fatal</t>
  </si>
  <si>
    <t>La casa por la ventana</t>
  </si>
  <si>
    <t>Más de cien mentiras</t>
  </si>
  <si>
    <t>Jugar por jugar</t>
  </si>
  <si>
    <t>Es mentira</t>
  </si>
  <si>
    <t>Mi primo el Nano</t>
  </si>
  <si>
    <t>El capitán de su calle</t>
  </si>
  <si>
    <t>Postal de La Habana</t>
  </si>
  <si>
    <t>Viridiana</t>
  </si>
  <si>
    <t>Seis de la mañana</t>
  </si>
  <si>
    <t>Tan joven y tan viejo</t>
  </si>
  <si>
    <t>La vida moderna</t>
  </si>
  <si>
    <t>Lázaro</t>
  </si>
  <si>
    <t>Yo me bajo en Atocha</t>
  </si>
  <si>
    <t>Buenos Aires</t>
  </si>
  <si>
    <t>Flores en su entierro</t>
  </si>
  <si>
    <t>Hasta cuándo</t>
  </si>
  <si>
    <t>19 días y 500 noches</t>
  </si>
  <si>
    <t>Barbi Superestar</t>
  </si>
  <si>
    <t>Una canción para la Magdalena</t>
  </si>
  <si>
    <t>Dieguitos y Mafaldas</t>
  </si>
  <si>
    <t>A mis cuarenta y diez</t>
  </si>
  <si>
    <t>El caso de la rubia platino</t>
  </si>
  <si>
    <t>Donde habita el olvido</t>
  </si>
  <si>
    <t>Cerrado por derribo</t>
  </si>
  <si>
    <t>Pero qué hermosas eran</t>
  </si>
  <si>
    <t>De purísima y oro</t>
  </si>
  <si>
    <t>Noches de boda</t>
  </si>
  <si>
    <t>Nos sobran los motivos</t>
  </si>
  <si>
    <t>La Biblia y el calefón</t>
  </si>
  <si>
    <t>No permita la Virgen</t>
  </si>
  <si>
    <t>Vámonos pal sur</t>
  </si>
  <si>
    <t>La canción más hermosa del mundo</t>
  </si>
  <si>
    <t>Como un dolor de muelas</t>
  </si>
  <si>
    <t>69 punto G</t>
  </si>
  <si>
    <t>Peces de ciudad</t>
  </si>
  <si>
    <t>El café de Nicanor</t>
  </si>
  <si>
    <t>Lágrimas de plástico azul</t>
  </si>
  <si>
    <t>Yo también sé jugarme la boca</t>
  </si>
  <si>
    <t>Arenas movedizas</t>
  </si>
  <si>
    <t>Cuando me hablan del destino</t>
  </si>
  <si>
    <t>Camas vacías</t>
  </si>
  <si>
    <t>Pájaros de Portugal</t>
  </si>
  <si>
    <t>Pie de guerra</t>
  </si>
  <si>
    <t>Ay, Rocío</t>
  </si>
  <si>
    <t>Contrabando</t>
  </si>
  <si>
    <t>Paisanaje</t>
  </si>
  <si>
    <t>Resumiendo</t>
  </si>
  <si>
    <t>Mater España</t>
  </si>
  <si>
    <t>Con lo que eso duele</t>
  </si>
  <si>
    <t>Dos horas después</t>
  </si>
  <si>
    <t>Me pido primer</t>
  </si>
  <si>
    <t>Nube negra</t>
  </si>
  <si>
    <t>Números rojos</t>
  </si>
  <si>
    <t>Seis tequilas</t>
  </si>
  <si>
    <t>Tiramisú de limón</t>
  </si>
  <si>
    <t>Viudita de Clicquot</t>
  </si>
  <si>
    <t>Cristales de Bohemia</t>
  </si>
  <si>
    <t>Parte meteorológico</t>
  </si>
  <si>
    <t>Ay, Carmela</t>
  </si>
  <si>
    <t>Virgen de la amargura</t>
  </si>
  <si>
    <t>Agua pasada</t>
  </si>
  <si>
    <t>Vinagre y rosas</t>
  </si>
  <si>
    <t>Embustera</t>
  </si>
  <si>
    <t>Nombres impropios</t>
  </si>
  <si>
    <t>Menos dos alas</t>
  </si>
  <si>
    <t>Crisis</t>
  </si>
  <si>
    <t>Blues del alambique</t>
  </si>
  <si>
    <t>Violetas para Violeta</t>
  </si>
  <si>
    <t>La orquesta del Titanic</t>
  </si>
  <si>
    <t>Después de los despueses</t>
  </si>
  <si>
    <t>Canción de Navidad</t>
  </si>
  <si>
    <t>Hoy por ti, mañana por mí</t>
  </si>
  <si>
    <t>Cuenta conmigo</t>
  </si>
  <si>
    <t>Maldito blues</t>
  </si>
  <si>
    <t>Quien más, quien menos</t>
  </si>
  <si>
    <t>No tan deprisa</t>
  </si>
  <si>
    <t>Lo niego todo</t>
  </si>
  <si>
    <t>Postdata</t>
  </si>
  <si>
    <t>Lágrimas de mármol</t>
  </si>
  <si>
    <t>Leningrado</t>
  </si>
  <si>
    <t>Canción de primavera</t>
  </si>
  <si>
    <t>Sin pena ni gloria</t>
  </si>
  <si>
    <t>Las noches de domingo acaban mal</t>
  </si>
  <si>
    <t>Qué estoy haciendo aquí</t>
  </si>
  <si>
    <t>Churumbelas</t>
  </si>
  <si>
    <t>Por delicadeza</t>
  </si>
  <si>
    <t>Pereza</t>
  </si>
  <si>
    <t>Leiva</t>
  </si>
  <si>
    <t>Sidecars</t>
  </si>
  <si>
    <t>No escupas al suelo</t>
  </si>
  <si>
    <t>Olvidé nuestra canción</t>
  </si>
  <si>
    <t>Andrés Suárez</t>
  </si>
  <si>
    <t>Lo ves</t>
  </si>
  <si>
    <t>Como un par de girasoles</t>
  </si>
  <si>
    <t>Galerna</t>
  </si>
  <si>
    <t>Doblar y comprender</t>
  </si>
  <si>
    <t>Acantilado</t>
  </si>
  <si>
    <t>Sirenas</t>
  </si>
  <si>
    <t>Menos tú</t>
  </si>
  <si>
    <t>Me voy de fiesta</t>
  </si>
  <si>
    <t>Horóscopo</t>
  </si>
  <si>
    <t>Pompa de jabón</t>
  </si>
  <si>
    <t>El globo</t>
  </si>
  <si>
    <t>Tú qué tal</t>
  </si>
  <si>
    <t>Música ligera</t>
  </si>
  <si>
    <t>Ay</t>
  </si>
  <si>
    <t>Una china en mi zapato</t>
  </si>
  <si>
    <t>Serás aún la misma</t>
  </si>
  <si>
    <t>Todo saldrá bien</t>
  </si>
  <si>
    <t>TV</t>
  </si>
  <si>
    <t>Pienso en aquella tarde</t>
  </si>
  <si>
    <t>Si quieres bailamos</t>
  </si>
  <si>
    <t>Yo sólo quiero</t>
  </si>
  <si>
    <t>La noria</t>
  </si>
  <si>
    <t>Dale a la guitarra</t>
  </si>
  <si>
    <t>Pelos de punta</t>
  </si>
  <si>
    <t>En donde estés</t>
  </si>
  <si>
    <t>Tirando de tu corazón</t>
  </si>
  <si>
    <t>Házmelo</t>
  </si>
  <si>
    <t>Tu infierno</t>
  </si>
  <si>
    <t>Algo para cantar</t>
  </si>
  <si>
    <t>Yeah</t>
  </si>
  <si>
    <t>Princesas</t>
  </si>
  <si>
    <t>Animales</t>
  </si>
  <si>
    <t>Lo que tengo yo adentro</t>
  </si>
  <si>
    <t>Todo</t>
  </si>
  <si>
    <t>Como lo tienes tú</t>
  </si>
  <si>
    <t>Niña de papá</t>
  </si>
  <si>
    <t>Caramelo</t>
  </si>
  <si>
    <t>Qué alegría más tonta</t>
  </si>
  <si>
    <t>Matar al cartero</t>
  </si>
  <si>
    <t>Superjunkies</t>
  </si>
  <si>
    <t>Madrid</t>
  </si>
  <si>
    <t>Quiero hacerlo esta noche contigo</t>
  </si>
  <si>
    <t>Aproximación</t>
  </si>
  <si>
    <t>Frágiles</t>
  </si>
  <si>
    <t>Estrella Polar</t>
  </si>
  <si>
    <t>Por mi tripa</t>
  </si>
  <si>
    <t>Dímelo</t>
  </si>
  <si>
    <t>Tristeza</t>
  </si>
  <si>
    <t>Huracán</t>
  </si>
  <si>
    <t>Talibán</t>
  </si>
  <si>
    <t>Dos gotas</t>
  </si>
  <si>
    <t>Beatles</t>
  </si>
  <si>
    <t>Grupis</t>
  </si>
  <si>
    <t>Ella tiene un don</t>
  </si>
  <si>
    <t>Yo nací para estar en un conjunto</t>
  </si>
  <si>
    <t>Superhermanas</t>
  </si>
  <si>
    <t>Windsor</t>
  </si>
  <si>
    <t>Violento amor</t>
  </si>
  <si>
    <t>Lady Madrid</t>
  </si>
  <si>
    <t>4 y 26</t>
  </si>
  <si>
    <t>Pirata</t>
  </si>
  <si>
    <t>Leones</t>
  </si>
  <si>
    <t>Backstage</t>
  </si>
  <si>
    <t>Champagne</t>
  </si>
  <si>
    <t>Que parezca un accidente</t>
  </si>
  <si>
    <t>La chica del Tirso</t>
  </si>
  <si>
    <t>Está lloviendo</t>
  </si>
  <si>
    <t>Voy a comerte</t>
  </si>
  <si>
    <t>El día que no pueda más</t>
  </si>
  <si>
    <t>Escupe</t>
  </si>
  <si>
    <t>Señor kioskero</t>
  </si>
  <si>
    <t>Llévame al baile</t>
  </si>
  <si>
    <t>Nunca nadie</t>
  </si>
  <si>
    <t>Eme</t>
  </si>
  <si>
    <t>Miedo</t>
  </si>
  <si>
    <t>Aunque sea un rato</t>
  </si>
  <si>
    <t>Éxtasis</t>
  </si>
  <si>
    <t>Penaltis</t>
  </si>
  <si>
    <t>Las cuentas</t>
  </si>
  <si>
    <t>Telediario</t>
  </si>
  <si>
    <t>Todo lo que tú quieras</t>
  </si>
  <si>
    <t>Hoy no me encuentro</t>
  </si>
  <si>
    <t>Vis a vis</t>
  </si>
  <si>
    <t>Sudando la tristeza</t>
  </si>
  <si>
    <t>Los cantantes</t>
  </si>
  <si>
    <t>Terriblemente cruel</t>
  </si>
  <si>
    <t>Palomas</t>
  </si>
  <si>
    <t>Cerca</t>
  </si>
  <si>
    <t>Afuera en la ciudad</t>
  </si>
  <si>
    <t>Del hueso una flor</t>
  </si>
  <si>
    <t>Hermosa taquicardia</t>
  </si>
  <si>
    <t>Mirada perdida</t>
  </si>
  <si>
    <t>Ciencia ficción</t>
  </si>
  <si>
    <t>Mi mejor versión</t>
  </si>
  <si>
    <t>Francesita</t>
  </si>
  <si>
    <t>Pólvora</t>
  </si>
  <si>
    <t>El último incendio</t>
  </si>
  <si>
    <t>Sincericidio</t>
  </si>
  <si>
    <t>Breaking Bad</t>
  </si>
  <si>
    <t>Dejándose caer</t>
  </si>
  <si>
    <t>La lluvia en los zapatos</t>
  </si>
  <si>
    <t>Hoy tus ojos</t>
  </si>
  <si>
    <t>Monstruos</t>
  </si>
  <si>
    <t>Electricidad</t>
  </si>
  <si>
    <t>Medicina</t>
  </si>
  <si>
    <t>San Sebastián - Madrid</t>
  </si>
  <si>
    <t>Palermo no es Hollywood</t>
  </si>
  <si>
    <t>Expertos</t>
  </si>
  <si>
    <t>Superpoderes</t>
  </si>
  <si>
    <t>No te preocupes por mí</t>
  </si>
  <si>
    <t>Maniobras suicidas</t>
  </si>
  <si>
    <t>Lobos</t>
  </si>
  <si>
    <t>Nuclear</t>
  </si>
  <si>
    <t>En el espacio</t>
  </si>
  <si>
    <t>Como si fueras a morir mañana</t>
  </si>
  <si>
    <t>Costa de Oaxaca</t>
  </si>
  <si>
    <t>Godzilla</t>
  </si>
  <si>
    <t>A ti te ocurre algo</t>
  </si>
  <si>
    <t>El gigante de Big Fish</t>
  </si>
  <si>
    <t>El jugador</t>
  </si>
  <si>
    <t>Ya no tengo problemas</t>
  </si>
  <si>
    <t>Muy bien</t>
  </si>
  <si>
    <t>Si nada sale bien</t>
  </si>
  <si>
    <t>Mundo frágil</t>
  </si>
  <si>
    <t>Chica fácil</t>
  </si>
  <si>
    <t>Caras largas</t>
  </si>
  <si>
    <t>Caradura</t>
  </si>
  <si>
    <t>Todo lo demás</t>
  </si>
  <si>
    <t>Un tipo elegante</t>
  </si>
  <si>
    <t>Chavales de instituto</t>
  </si>
  <si>
    <t>Merecido</t>
  </si>
  <si>
    <t>Apaga y vámonos</t>
  </si>
  <si>
    <t>Plan B</t>
  </si>
  <si>
    <t>Pastillas de colores</t>
  </si>
  <si>
    <t>Salir a matar</t>
  </si>
  <si>
    <t>Fan de ti</t>
  </si>
  <si>
    <t>Después del fin</t>
  </si>
  <si>
    <t>Llueve</t>
  </si>
  <si>
    <t>Miénteme</t>
  </si>
  <si>
    <t>Luz de gas</t>
  </si>
  <si>
    <t>Anfetamina</t>
  </si>
  <si>
    <t>Noche en velero</t>
  </si>
  <si>
    <t>Fuego cruzado</t>
  </si>
  <si>
    <t>Los amantes</t>
  </si>
  <si>
    <t>No vuelvas</t>
  </si>
  <si>
    <t>Contra las cuerdas</t>
  </si>
  <si>
    <t>De película</t>
  </si>
  <si>
    <t>El peor verano</t>
  </si>
  <si>
    <t>Todos mis males</t>
  </si>
  <si>
    <t>Hasta el final</t>
  </si>
  <si>
    <t>Déjalo sangrar</t>
  </si>
  <si>
    <t>Dinamita</t>
  </si>
  <si>
    <t>La estampida</t>
  </si>
  <si>
    <t>La tormenta</t>
  </si>
  <si>
    <t>Una eternidad</t>
  </si>
  <si>
    <t>Fantasías delirantes</t>
  </si>
  <si>
    <t>Tu mejor pesadilla</t>
  </si>
  <si>
    <t>Costa da morte</t>
  </si>
  <si>
    <t>Amasijo de huesos</t>
  </si>
  <si>
    <t>Microinfarto</t>
  </si>
  <si>
    <t>Olvídame</t>
  </si>
  <si>
    <t>Canciones prohibidas</t>
  </si>
  <si>
    <t>Cuando caigas en shock</t>
  </si>
  <si>
    <t>Polvorosa</t>
  </si>
  <si>
    <t>El camino fácil</t>
  </si>
  <si>
    <t>Tan rápido</t>
  </si>
  <si>
    <t>Todo es mentira</t>
  </si>
  <si>
    <t>Conmigo o sin mí</t>
  </si>
  <si>
    <t>Mundo imperfecto</t>
  </si>
  <si>
    <t>Garabatos</t>
  </si>
  <si>
    <t>Galaxia</t>
  </si>
  <si>
    <t>Detrás de los focos</t>
  </si>
  <si>
    <t>La noche en calma</t>
  </si>
  <si>
    <t>Golpe de suerte</t>
  </si>
  <si>
    <t>Looping star</t>
  </si>
  <si>
    <t>Quién sabe</t>
  </si>
  <si>
    <t>Ruido de fondo</t>
  </si>
  <si>
    <t>Noches de guardia</t>
  </si>
  <si>
    <t>Voyeur</t>
  </si>
  <si>
    <t>Hay algo más</t>
  </si>
  <si>
    <t>A media estrella</t>
  </si>
  <si>
    <t>Imagínanos</t>
  </si>
  <si>
    <t>No te quiero tanto</t>
  </si>
  <si>
    <t>Lo malo está en el aire</t>
  </si>
  <si>
    <t>No me queda un abril para ti</t>
  </si>
  <si>
    <t>La vi bailar flamenco</t>
  </si>
  <si>
    <t>Más de un 36</t>
  </si>
  <si>
    <t>Benijo</t>
  </si>
  <si>
    <t>Piedras y charcos</t>
  </si>
  <si>
    <t>Perdón por los bailes</t>
  </si>
  <si>
    <t>Tengo 26</t>
  </si>
  <si>
    <t>320 días</t>
  </si>
  <si>
    <t>Rosa y Manuel</t>
  </si>
  <si>
    <t>Números cardinales</t>
  </si>
  <si>
    <t>Esta vez, si puedes</t>
  </si>
  <si>
    <t>Seis caricias</t>
  </si>
  <si>
    <t>Aún te recuerdo</t>
  </si>
  <si>
    <t>Así fue</t>
  </si>
  <si>
    <t>Necesitaba un vals para olvidarte</t>
  </si>
  <si>
    <t>No saben de ti</t>
  </si>
  <si>
    <t>Voy a volver a quererte</t>
  </si>
  <si>
    <t>Te doy media noche</t>
  </si>
  <si>
    <t>Clasificados</t>
  </si>
  <si>
    <t>Luz de pregonda</t>
  </si>
  <si>
    <t>Si llueve en Sevilla</t>
  </si>
  <si>
    <t>Una noche de verano</t>
  </si>
  <si>
    <t>Pequeña historia de Marina</t>
  </si>
  <si>
    <t>Te di vida y media</t>
  </si>
  <si>
    <t>Dublín</t>
  </si>
  <si>
    <t>Te va a pasar</t>
  </si>
  <si>
    <t>Que levante la mano</t>
  </si>
  <si>
    <t>El corazón me arde</t>
  </si>
  <si>
    <t>Desamiga</t>
  </si>
  <si>
    <t>Ahora ya fue</t>
  </si>
  <si>
    <t>Estrellas</t>
  </si>
  <si>
    <t>6+4</t>
  </si>
  <si>
    <t>Ahí va la niña</t>
  </si>
  <si>
    <t>Tal vez te acuerdes de mí</t>
  </si>
  <si>
    <t>La próxima vez en Lisboa</t>
  </si>
  <si>
    <t>Apenas te conozco</t>
  </si>
  <si>
    <t>Walt Disney</t>
  </si>
  <si>
    <t>Serrat 2015</t>
  </si>
  <si>
    <t>Desde una ventana</t>
  </si>
  <si>
    <t>Sin saber decir</t>
  </si>
  <si>
    <t>No fue mentira</t>
  </si>
  <si>
    <t>Sargento de hierro</t>
  </si>
  <si>
    <t>Lunática</t>
  </si>
  <si>
    <t>Lavapiés</t>
  </si>
  <si>
    <t>Volar sin ti</t>
  </si>
  <si>
    <t>No diré</t>
  </si>
  <si>
    <t>6 de la mañana</t>
  </si>
  <si>
    <t>Todavía puedo oírte</t>
  </si>
  <si>
    <t>Si la veis</t>
  </si>
  <si>
    <t>Calella</t>
  </si>
  <si>
    <t>El cantante</t>
  </si>
  <si>
    <t>Nina</t>
  </si>
  <si>
    <t>Un solo día</t>
  </si>
  <si>
    <t>Propongo</t>
  </si>
  <si>
    <t>A un par de metros de ti</t>
  </si>
  <si>
    <t>Me falta el aire</t>
  </si>
  <si>
    <t>La luz que nace en ti</t>
  </si>
  <si>
    <t>El caprichoso</t>
  </si>
  <si>
    <t>Sí, quiero</t>
  </si>
  <si>
    <t>Los tres caballeros</t>
  </si>
  <si>
    <t>Esta ciudad</t>
  </si>
  <si>
    <t>Todo a pulmón</t>
  </si>
  <si>
    <t>Tu camino</t>
  </si>
  <si>
    <t>Revolución (Tregua)</t>
  </si>
  <si>
    <t>Me cuesta tanto olvidarte (Mecano)</t>
  </si>
  <si>
    <t>Esta noche a mis pies (Maldita la hora)</t>
  </si>
  <si>
    <t>Esta noche (091)</t>
  </si>
  <si>
    <t>Camisa de once varas (Seguridad Social)</t>
  </si>
  <si>
    <t>Y ahora que (Mala Conciencia)</t>
  </si>
  <si>
    <t>La luna se esconde (Pablo Perea)</t>
  </si>
  <si>
    <t>Muévete (Ni un pelo de tonto)</t>
  </si>
  <si>
    <t>Disney</t>
  </si>
  <si>
    <t>Pinocho</t>
  </si>
  <si>
    <t>Dumbo</t>
  </si>
  <si>
    <t>Bambi</t>
  </si>
  <si>
    <t>Alicia en el país de las maravillas</t>
  </si>
  <si>
    <t>La dama y el vagabundo</t>
  </si>
  <si>
    <t>La bella durmiente</t>
  </si>
  <si>
    <t>Merlín el Encantador</t>
  </si>
  <si>
    <t>Los aristogatos</t>
  </si>
  <si>
    <t>Robin hood</t>
  </si>
  <si>
    <t>Los rescatadores</t>
  </si>
  <si>
    <t>Tod y Toby</t>
  </si>
  <si>
    <t>Oliver y su pandilla</t>
  </si>
  <si>
    <t>La sirenita</t>
  </si>
  <si>
    <t>La bella y la bestia</t>
  </si>
  <si>
    <t>Pocahontas</t>
  </si>
  <si>
    <t>Toy Story</t>
  </si>
  <si>
    <t>El jorobado de Notre Dame</t>
  </si>
  <si>
    <t>Hércules</t>
  </si>
  <si>
    <t>Tarzán</t>
  </si>
  <si>
    <t>El emperador y sus locuras</t>
  </si>
  <si>
    <t>Atlantis</t>
  </si>
  <si>
    <t>Lilo &amp; Stitch</t>
  </si>
  <si>
    <t>Buscando a Nemo</t>
  </si>
  <si>
    <t>Hermano oso</t>
  </si>
  <si>
    <t>Mulán</t>
  </si>
  <si>
    <t>Los increíbles</t>
  </si>
  <si>
    <t>Ratatouille</t>
  </si>
  <si>
    <t>Cars</t>
  </si>
  <si>
    <t>Wall-e</t>
  </si>
  <si>
    <t>Up</t>
  </si>
  <si>
    <t>Tiana y el sapo</t>
  </si>
  <si>
    <t>Enredados</t>
  </si>
  <si>
    <t>Brave</t>
  </si>
  <si>
    <t>Monsters</t>
  </si>
  <si>
    <t>Frozen</t>
  </si>
  <si>
    <t>Zootrópolis</t>
  </si>
  <si>
    <t>Moana</t>
  </si>
  <si>
    <t>Dama que pinta en el sur</t>
  </si>
  <si>
    <t>MClan</t>
  </si>
  <si>
    <t>101 dálmatas - Cruella de Vil</t>
  </si>
  <si>
    <t>Aladdin - Si a Arabia tú vas</t>
  </si>
  <si>
    <t>Aladdin - El rey</t>
  </si>
  <si>
    <t>Aladdin - Un genio genial</t>
  </si>
  <si>
    <t>Aladdin - Príncipe Alí</t>
  </si>
  <si>
    <t>Aladdin - Un mundo ideal</t>
  </si>
  <si>
    <t>Bichos - Hora es de vivir</t>
  </si>
  <si>
    <t>Blancanieves - Hi ho</t>
  </si>
  <si>
    <t>Cenicienta - Bibidi Babidi Bú</t>
  </si>
  <si>
    <t>Coco - El latido de mi corazón</t>
  </si>
  <si>
    <t>Coco - La llorona</t>
  </si>
  <si>
    <t>Coco - Un poco loco</t>
  </si>
  <si>
    <t>Coco - Recuérdame</t>
  </si>
  <si>
    <t>El planeta del tesoro - Sigo aquí</t>
  </si>
  <si>
    <t>El libro de la selva - Busca lo más vital</t>
  </si>
  <si>
    <t>El libro de la selva - Quiero ser como tú</t>
  </si>
  <si>
    <t>El rey león - El ciclo de la vida</t>
  </si>
  <si>
    <t>El rey león - Yo voy a ser Rey León</t>
  </si>
  <si>
    <t>El rey león - Hakuna Matata</t>
  </si>
  <si>
    <t>El rey león - Es la noche del amor</t>
  </si>
  <si>
    <t>A día de hoy</t>
  </si>
  <si>
    <t>Buena energía</t>
  </si>
  <si>
    <t>Corazón a la virulé</t>
  </si>
  <si>
    <t>Aguardiente</t>
  </si>
  <si>
    <t>Astronauta</t>
  </si>
  <si>
    <t>El bar de la esquina</t>
  </si>
  <si>
    <t>Bicho</t>
  </si>
  <si>
    <t>Como un huracán</t>
  </si>
  <si>
    <t>Contento por nada</t>
  </si>
  <si>
    <t>Cuatro rosas</t>
  </si>
  <si>
    <t>En una noche cualquiera</t>
  </si>
  <si>
    <t>Se calienta</t>
  </si>
  <si>
    <t>En mis manos</t>
  </si>
  <si>
    <t>Un buen momento</t>
  </si>
  <si>
    <t>Volando alto</t>
  </si>
  <si>
    <t>Miro atrás</t>
  </si>
  <si>
    <t>Dentro de la esfera</t>
  </si>
  <si>
    <t>Perdido en la ciudad</t>
  </si>
  <si>
    <t>Hermana</t>
  </si>
  <si>
    <t>Donde el río hierve</t>
  </si>
  <si>
    <t>No sabes hacerlo bien</t>
  </si>
  <si>
    <t>Ron vudú</t>
  </si>
  <si>
    <t>Como una piedra</t>
  </si>
  <si>
    <t>Deja que lo muerda</t>
  </si>
  <si>
    <t>Nacional 120</t>
  </si>
  <si>
    <t>Maxi ha vuelto</t>
  </si>
  <si>
    <t>Dónde está la revolución</t>
  </si>
  <si>
    <t>Desde los tejados</t>
  </si>
  <si>
    <t>Canción sin retorno</t>
  </si>
  <si>
    <t>Algo más fuerte</t>
  </si>
  <si>
    <t>Cierto sabor amargo</t>
  </si>
  <si>
    <t>Si estoy tan loco</t>
  </si>
  <si>
    <t>Domingo de mayo</t>
  </si>
  <si>
    <t>Chilaba y cachimba</t>
  </si>
  <si>
    <t>Llamando a la Tierra</t>
  </si>
  <si>
    <t>No quiero verte</t>
  </si>
  <si>
    <t>La calma</t>
  </si>
  <si>
    <t>No tan bueno</t>
  </si>
  <si>
    <t>Eres funky</t>
  </si>
  <si>
    <t>Usar y tirar</t>
  </si>
  <si>
    <t>Mujer norteña</t>
  </si>
  <si>
    <t>Setenta y nueve</t>
  </si>
  <si>
    <t>39 grados</t>
  </si>
  <si>
    <t>Carolina</t>
  </si>
  <si>
    <t>Souvenir</t>
  </si>
  <si>
    <t>Los periódicos de mañana</t>
  </si>
  <si>
    <t>Maggie, despierta</t>
  </si>
  <si>
    <t>Qué está pasando</t>
  </si>
  <si>
    <t>Sin equipaje</t>
  </si>
  <si>
    <t>El tren que nunca cogimos</t>
  </si>
  <si>
    <t>Minutos musicales</t>
  </si>
  <si>
    <t>Todo negro</t>
  </si>
  <si>
    <t>Antihéroe</t>
  </si>
  <si>
    <t>Defectos personales</t>
  </si>
  <si>
    <t>Otro año más</t>
  </si>
  <si>
    <t>Espectáculos de ruido</t>
  </si>
  <si>
    <t>Mil cigarrillos</t>
  </si>
  <si>
    <t>El general</t>
  </si>
  <si>
    <t>Dando vueltas</t>
  </si>
  <si>
    <t>Si hay un dios</t>
  </si>
  <si>
    <t>En el barrio</t>
  </si>
  <si>
    <t>Viviendo del aire</t>
  </si>
  <si>
    <t>Quedamos en Vigo</t>
  </si>
  <si>
    <t>Piratas</t>
  </si>
  <si>
    <t>Filosofía barata</t>
  </si>
  <si>
    <t>Sopa fría</t>
  </si>
  <si>
    <t>Ataque al corazón</t>
  </si>
  <si>
    <t>Mario</t>
  </si>
  <si>
    <t>Lola</t>
  </si>
  <si>
    <t>Comunicando</t>
  </si>
  <si>
    <t>El hombre de las tabernas</t>
  </si>
  <si>
    <t>Juerga general</t>
  </si>
  <si>
    <t>Hasta la vista, rock and roll</t>
  </si>
  <si>
    <t>Oigo música</t>
  </si>
  <si>
    <t>Pasos de equilibrista</t>
  </si>
  <si>
    <t>Amor universal</t>
  </si>
  <si>
    <t>Roto por dentro</t>
  </si>
  <si>
    <t>Las calles están ardiendo</t>
  </si>
  <si>
    <t>Inmigrante</t>
  </si>
  <si>
    <t>El viaje</t>
  </si>
  <si>
    <t>Balada del desarraigado</t>
  </si>
  <si>
    <t>Espantapájaros</t>
  </si>
  <si>
    <t>Las palabras que me dijiste</t>
  </si>
  <si>
    <t>Corazón de bronce</t>
  </si>
  <si>
    <t>Canción de invierno</t>
  </si>
  <si>
    <t>Calle sin luz</t>
  </si>
  <si>
    <t>Para no ver el final</t>
  </si>
  <si>
    <t>Basta de blues</t>
  </si>
  <si>
    <t>Me voy a dejar llevar</t>
  </si>
  <si>
    <t>Hasta que se acostumbre a la oscuridad</t>
  </si>
  <si>
    <t>Desesperación por verte</t>
  </si>
  <si>
    <t>Se hizo de noche cuando te conocí</t>
  </si>
  <si>
    <t>Carrusel</t>
  </si>
  <si>
    <t>Gracias por los días que vendrán</t>
  </si>
  <si>
    <t>Para decirte adiós</t>
  </si>
  <si>
    <t>Vidas desiertas</t>
  </si>
  <si>
    <t>Escucha mi voz</t>
  </si>
  <si>
    <t>Cuando el camino duela</t>
  </si>
  <si>
    <t>Noche de aullidos</t>
  </si>
  <si>
    <t>Ritual</t>
  </si>
  <si>
    <t>Nadie se acordará de ti</t>
  </si>
  <si>
    <t>Sólo el viento</t>
  </si>
  <si>
    <t>Rock and roll del siglo XXI</t>
  </si>
  <si>
    <t>Grupos americanos</t>
  </si>
  <si>
    <t>California</t>
  </si>
  <si>
    <t>La esperanza</t>
  </si>
  <si>
    <t>Delta</t>
  </si>
  <si>
    <t>Caminos secundarios</t>
  </si>
  <si>
    <t>Saltamos sin mirar</t>
  </si>
  <si>
    <t>Tráeme tu amor</t>
  </si>
  <si>
    <t>Viaje hacia el sur</t>
  </si>
  <si>
    <t>Todo lo joven muere hoy</t>
  </si>
  <si>
    <t>Concierto salvaje</t>
  </si>
  <si>
    <t>Polvo de estrellas</t>
  </si>
  <si>
    <t>Whisky on the rocks</t>
  </si>
  <si>
    <t>Noche de desolación</t>
  </si>
  <si>
    <t>Cremalleras</t>
  </si>
  <si>
    <t>Rafa Pons</t>
  </si>
  <si>
    <t>Perdona, mona</t>
  </si>
  <si>
    <t>Julia Roberts</t>
  </si>
  <si>
    <t>Hotel y domicilio</t>
  </si>
  <si>
    <t>Supongo</t>
  </si>
  <si>
    <t>Nieve en la ventana</t>
  </si>
  <si>
    <t>Me tienes contento</t>
  </si>
  <si>
    <t>Filatélico, numismático</t>
  </si>
  <si>
    <t>Luna</t>
  </si>
  <si>
    <t>La última estación</t>
  </si>
  <si>
    <t>La turca</t>
  </si>
  <si>
    <t>La niña de Getxo</t>
  </si>
  <si>
    <t>Rafita perestroika</t>
  </si>
  <si>
    <t>Caja negra</t>
  </si>
  <si>
    <t>Un poco idiota</t>
  </si>
  <si>
    <t>Algo de tiempo</t>
  </si>
  <si>
    <t>Rompiendo el hielo</t>
  </si>
  <si>
    <t>No hay sexo seguro</t>
  </si>
  <si>
    <t>Nos</t>
  </si>
  <si>
    <t>Olvídate de ti</t>
  </si>
  <si>
    <t>Para nonainoninonero</t>
  </si>
  <si>
    <t>Traficante de karmas</t>
  </si>
  <si>
    <t>Silencio</t>
  </si>
  <si>
    <t>Empecé la noche con Noriega</t>
  </si>
  <si>
    <t>Mosquetera</t>
  </si>
  <si>
    <t>Nueva York</t>
  </si>
  <si>
    <t>Berlín Est</t>
  </si>
  <si>
    <t>El gallito</t>
  </si>
  <si>
    <t>Nadie sabe quién llora</t>
  </si>
  <si>
    <t>Persona, animal o cosa</t>
  </si>
  <si>
    <t>A que me enamoro</t>
  </si>
  <si>
    <t>Que pasen cosas</t>
  </si>
  <si>
    <t>Nos vamos conociendo</t>
  </si>
  <si>
    <t>La mosso</t>
  </si>
  <si>
    <t>El último pedazo del pastel</t>
  </si>
  <si>
    <t>La historia del loro cabrón</t>
  </si>
  <si>
    <t>Des igual</t>
  </si>
  <si>
    <t>Pobre dinosaurio</t>
  </si>
  <si>
    <t>Tu vestido</t>
  </si>
  <si>
    <t>No te jode</t>
  </si>
  <si>
    <t>Estupefacientemente</t>
  </si>
  <si>
    <t>Cuando se nos mueran los maestros</t>
  </si>
  <si>
    <t>Libertad</t>
  </si>
  <si>
    <t>Las demás</t>
  </si>
  <si>
    <t>Bobo</t>
  </si>
  <si>
    <t>Amores binarios</t>
  </si>
  <si>
    <t>En ti</t>
  </si>
  <si>
    <t>Estupenda</t>
  </si>
  <si>
    <t>La fiesta en paz</t>
  </si>
  <si>
    <t>Te piso la nuca</t>
  </si>
  <si>
    <t>Diles</t>
  </si>
  <si>
    <t>Follón kilombo</t>
  </si>
  <si>
    <t>El no que ya tenía</t>
  </si>
  <si>
    <t>Estrella del shock</t>
  </si>
  <si>
    <t>No se me da bien</t>
  </si>
  <si>
    <t>Hambre de balón</t>
  </si>
  <si>
    <t>Imposible</t>
  </si>
  <si>
    <t>Atento</t>
  </si>
  <si>
    <t>Como un hombre</t>
  </si>
  <si>
    <t>Los reyes del mundo</t>
  </si>
  <si>
    <t>Podré soportarlo</t>
  </si>
  <si>
    <t>Niño viejo</t>
  </si>
  <si>
    <t>Algo que tú no sepas</t>
  </si>
  <si>
    <t>Precaución</t>
  </si>
  <si>
    <t>La tontería</t>
  </si>
  <si>
    <t>No te guardo rencor</t>
  </si>
  <si>
    <t>Estúpido</t>
  </si>
  <si>
    <t>Muchas veces</t>
  </si>
  <si>
    <t>Malaputa</t>
  </si>
  <si>
    <t>La diosa que inspira esta canción</t>
  </si>
  <si>
    <t>Señorita, no me cuelgue</t>
  </si>
  <si>
    <t>El psicólogo de mi ex</t>
  </si>
  <si>
    <t>Marea</t>
  </si>
  <si>
    <t>Ella Baila Sola</t>
  </si>
  <si>
    <t>Mejor sin ti</t>
  </si>
  <si>
    <t>Lo echamos a suertes</t>
  </si>
  <si>
    <t>Amores de barra</t>
  </si>
  <si>
    <t>Victoria</t>
  </si>
  <si>
    <t>Cuando los sapos bailen flamenco</t>
  </si>
  <si>
    <t>Que se te escapa el negro</t>
  </si>
  <si>
    <t>No lo vuelvas a hacer</t>
  </si>
  <si>
    <t>Besos de hielo</t>
  </si>
  <si>
    <t>Muere el silencio</t>
  </si>
  <si>
    <t>Entra</t>
  </si>
  <si>
    <t>Disimulando</t>
  </si>
  <si>
    <t>Mujer florero</t>
  </si>
  <si>
    <t>Y quisiera</t>
  </si>
  <si>
    <t>Que se me va de las manos</t>
  </si>
  <si>
    <t>El tiempo de mi felicidad</t>
  </si>
  <si>
    <t>Parece mentira</t>
  </si>
  <si>
    <t>Suelo de canicas</t>
  </si>
  <si>
    <t>Entre tu cuarto y el mío</t>
  </si>
  <si>
    <t>Beso eterno</t>
  </si>
  <si>
    <t>En medio</t>
  </si>
  <si>
    <t>Contigo me cruzo deprisa</t>
  </si>
  <si>
    <t>Mientras mueves el arroz</t>
  </si>
  <si>
    <t>Algo personal</t>
  </si>
  <si>
    <t>Nacer para encontrarte</t>
  </si>
  <si>
    <t>A mi ritmo</t>
  </si>
  <si>
    <t>Junta los dedos</t>
  </si>
  <si>
    <t>Despídete</t>
  </si>
  <si>
    <t>Claro que hace falta hablar</t>
  </si>
  <si>
    <t>Cómo repartimos los amigos</t>
  </si>
  <si>
    <t>Superviviente</t>
  </si>
  <si>
    <t>Sin confesarlo todo</t>
  </si>
  <si>
    <t>Ella baila sola</t>
  </si>
  <si>
    <t>La patera</t>
  </si>
  <si>
    <t>No todo está perdido</t>
  </si>
  <si>
    <t>Calor que dar</t>
  </si>
  <si>
    <t>Seguro que sí</t>
  </si>
  <si>
    <t>Sólo he perdido un minuto contigo</t>
  </si>
  <si>
    <t>Mal hotel</t>
  </si>
  <si>
    <t>Infinito</t>
  </si>
  <si>
    <t>Ay de ti, ay de mí</t>
  </si>
  <si>
    <t>Baldosas</t>
  </si>
  <si>
    <t>Sentir</t>
  </si>
  <si>
    <t>Tiene sentido creer</t>
  </si>
  <si>
    <t>Ya está bien</t>
  </si>
  <si>
    <t>La silla marcada</t>
  </si>
  <si>
    <t>La parada del 6</t>
  </si>
  <si>
    <t>Tequila</t>
  </si>
  <si>
    <t>Confianza</t>
  </si>
  <si>
    <t>Ya lo dijo Camarón</t>
  </si>
  <si>
    <t>Trasegando</t>
  </si>
  <si>
    <t>No quiero ser un poeta</t>
  </si>
  <si>
    <t>Despellejo</t>
  </si>
  <si>
    <t>Quejíos</t>
  </si>
  <si>
    <t>Lija y terciopelo</t>
  </si>
  <si>
    <t>Como quiere tu abuelita</t>
  </si>
  <si>
    <t>Barniz</t>
  </si>
  <si>
    <t>Incandescente</t>
  </si>
  <si>
    <t>Amor temporero</t>
  </si>
  <si>
    <t>Corazón de mimbre</t>
  </si>
  <si>
    <t>El perro verde</t>
  </si>
  <si>
    <t>Canto de tierra seca</t>
  </si>
  <si>
    <t>Prima tristeza</t>
  </si>
  <si>
    <t>Mojama</t>
  </si>
  <si>
    <t>Si viene la pestañí</t>
  </si>
  <si>
    <t>Romance de Jose Etxailarena</t>
  </si>
  <si>
    <t>El rastro</t>
  </si>
  <si>
    <t>La luna me sabe a poco</t>
  </si>
  <si>
    <t>A la mierda, primavera</t>
  </si>
  <si>
    <t>En tu agujero</t>
  </si>
  <si>
    <t>Manuela canta saetas</t>
  </si>
  <si>
    <t>Alfileres</t>
  </si>
  <si>
    <t>Me estoy quedando solo</t>
  </si>
  <si>
    <t>Venas con humo y palabras</t>
  </si>
  <si>
    <t>Como el viento de poniente</t>
  </si>
  <si>
    <t>Pan duro</t>
  </si>
  <si>
    <t>La rueca</t>
  </si>
  <si>
    <t>A caballo</t>
  </si>
  <si>
    <t>Virgen del fracaso</t>
  </si>
  <si>
    <t>Con la camisa rota</t>
  </si>
  <si>
    <t>Latido jondo</t>
  </si>
  <si>
    <t>El hijo de la Inés</t>
  </si>
  <si>
    <t>Dos alpargatas</t>
  </si>
  <si>
    <t>Como los trileros</t>
  </si>
  <si>
    <t>Ciudad de los gitanos</t>
  </si>
  <si>
    <t>Al culo de una lombriz</t>
  </si>
  <si>
    <t>Que se joda el viento</t>
  </si>
  <si>
    <t>Entre hormigones</t>
  </si>
  <si>
    <t>Aceitunero</t>
  </si>
  <si>
    <t>Por cuatro perras</t>
  </si>
  <si>
    <t>El trapecio</t>
  </si>
  <si>
    <t>Mierda y cuchara</t>
  </si>
  <si>
    <t>Mil quilates</t>
  </si>
  <si>
    <t>Petenera</t>
  </si>
  <si>
    <t>Nana de quebranto</t>
  </si>
  <si>
    <t>Me corten la lengua</t>
  </si>
  <si>
    <t>La hora de las moscas</t>
  </si>
  <si>
    <t>Los mismos clavos</t>
  </si>
  <si>
    <t>Bienvenido al secadero</t>
  </si>
  <si>
    <t>La majada</t>
  </si>
  <si>
    <t>Sobran bueyes</t>
  </si>
  <si>
    <t>El día que lluevan pianos</t>
  </si>
  <si>
    <t>Canaleros</t>
  </si>
  <si>
    <t>Ójala me quieras libre</t>
  </si>
  <si>
    <t>Ángeles del suelo</t>
  </si>
  <si>
    <t>Las últimas habitaciones</t>
  </si>
  <si>
    <t>Plomo en los bolsillos</t>
  </si>
  <si>
    <t>Pedimento</t>
  </si>
  <si>
    <t>En las encías</t>
  </si>
  <si>
    <t>Un hierro sin domar</t>
  </si>
  <si>
    <t>Muchas lanzas</t>
  </si>
  <si>
    <t>Jindama</t>
  </si>
  <si>
    <t>La noche de Viernes Santo</t>
  </si>
  <si>
    <t>Ocho mares</t>
  </si>
  <si>
    <t>El temblor</t>
  </si>
  <si>
    <t>Pájaros viejos</t>
  </si>
  <si>
    <t>Pecadores</t>
  </si>
  <si>
    <t>Segundo acto</t>
  </si>
  <si>
    <t>El fin del rumbo</t>
  </si>
  <si>
    <t>A ti que te lo haces</t>
  </si>
  <si>
    <t>Ahora que</t>
  </si>
  <si>
    <t>Conchita</t>
  </si>
  <si>
    <t>Tres segundos</t>
  </si>
  <si>
    <t>Nada que perder</t>
  </si>
  <si>
    <t>Promesas</t>
  </si>
  <si>
    <t>Un, dos, tres</t>
  </si>
  <si>
    <t>Dónde</t>
  </si>
  <si>
    <t>Encaja mi corazón</t>
  </si>
  <si>
    <t>No salgas corriendo</t>
  </si>
  <si>
    <t>Cómo te digo eso</t>
  </si>
  <si>
    <t>Tonta</t>
  </si>
  <si>
    <t>Verás</t>
  </si>
  <si>
    <t>Algo bonito</t>
  </si>
  <si>
    <t>Dónde lo guardo</t>
  </si>
  <si>
    <t>Tanto tiempo</t>
  </si>
  <si>
    <t>Cuéntale</t>
  </si>
  <si>
    <t>Ya pasó</t>
  </si>
  <si>
    <t>Un trocito de aire</t>
  </si>
  <si>
    <t>Desde fuera</t>
  </si>
  <si>
    <t>El manual</t>
  </si>
  <si>
    <t>Palabras tristes o te echo de menos</t>
  </si>
  <si>
    <t>Se cerró la puerta</t>
  </si>
  <si>
    <t>Dicen</t>
  </si>
  <si>
    <t>Tan despacio</t>
  </si>
  <si>
    <t>Me voy</t>
  </si>
  <si>
    <t>Soy un gato</t>
  </si>
  <si>
    <t>Cambiemos la historia</t>
  </si>
  <si>
    <t>Qué suerte</t>
  </si>
  <si>
    <t>Esta vez</t>
  </si>
  <si>
    <t>Tocando madera</t>
  </si>
  <si>
    <t>Nana</t>
  </si>
  <si>
    <t>Nada más</t>
  </si>
  <si>
    <t>El mundo</t>
  </si>
  <si>
    <t>La guapa de la fiesta</t>
  </si>
  <si>
    <t>Como si nada</t>
  </si>
  <si>
    <t>Mira dónde estoy</t>
  </si>
  <si>
    <t>Vete</t>
  </si>
  <si>
    <t>Balones por los aires</t>
  </si>
  <si>
    <t>Loca</t>
  </si>
  <si>
    <t>La chica cursi de la radio</t>
  </si>
  <si>
    <t>20 días</t>
  </si>
  <si>
    <t>Me aburres</t>
  </si>
  <si>
    <t>No hay más</t>
  </si>
  <si>
    <t>Tú</t>
  </si>
  <si>
    <t>Soplé</t>
  </si>
  <si>
    <t>Roto</t>
  </si>
  <si>
    <t>Tralará</t>
  </si>
  <si>
    <t>Esto era</t>
  </si>
  <si>
    <t>Yin Yang</t>
  </si>
  <si>
    <t>Vals</t>
  </si>
  <si>
    <t>Lo intento</t>
  </si>
  <si>
    <t>No hay manera</t>
  </si>
  <si>
    <t>Lo que tú no sabes</t>
  </si>
  <si>
    <t>Quién hizo qué</t>
  </si>
  <si>
    <t>Lo hicimos</t>
  </si>
  <si>
    <t>Cuando se trata de elegir</t>
  </si>
  <si>
    <t>Las ocho y diez</t>
  </si>
  <si>
    <t>Invasiones</t>
  </si>
  <si>
    <t>Buena suerte y buen viaje</t>
  </si>
  <si>
    <t>Incendios</t>
  </si>
  <si>
    <t>Rodeando precipicios</t>
  </si>
  <si>
    <t>Julio y Fina</t>
  </si>
  <si>
    <t>Voy a estar bien</t>
  </si>
  <si>
    <t>Cómo no te voy a querer</t>
  </si>
  <si>
    <t>Secretos</t>
  </si>
  <si>
    <t>Donde no duela verme</t>
  </si>
  <si>
    <t>Yo por dentro</t>
  </si>
  <si>
    <t>Perfecta</t>
  </si>
  <si>
    <t>Triple mortal</t>
  </si>
  <si>
    <t>13 años</t>
  </si>
  <si>
    <t>Sálvese quien pueda</t>
  </si>
  <si>
    <t>Un camino para volver</t>
  </si>
  <si>
    <t>Que merezca la pena</t>
  </si>
  <si>
    <t>Celebraré</t>
  </si>
  <si>
    <t>Algo de ti</t>
  </si>
  <si>
    <t>Y ahora tú</t>
  </si>
  <si>
    <t>Hilo rojo</t>
  </si>
  <si>
    <t>Fuengirola</t>
  </si>
  <si>
    <t>Llegaste</t>
  </si>
  <si>
    <t>Anticiclón</t>
  </si>
  <si>
    <t>Cuando te muerdes el labio</t>
  </si>
  <si>
    <t>Mi pequeño Chernóbil</t>
  </si>
  <si>
    <t>No soy para ti</t>
  </si>
  <si>
    <t>Partido a partido</t>
  </si>
  <si>
    <t>Sixteen</t>
  </si>
  <si>
    <t>Solaris</t>
  </si>
  <si>
    <t>Tu respiración</t>
  </si>
  <si>
    <t>Balada de Tolito</t>
  </si>
  <si>
    <t>Juegos de azar LQNS1</t>
  </si>
  <si>
    <t>Quién me ha robado el mes de abril LQNS2</t>
  </si>
  <si>
    <t>La del pirata cojo LQNS3</t>
  </si>
  <si>
    <t>Hotel, dulce hotel LQNS4</t>
  </si>
  <si>
    <t>Princesa LQNS5</t>
  </si>
  <si>
    <t>Pacto entre caballeros LQNS6</t>
  </si>
  <si>
    <t>Esta noche contigo LQNS7</t>
  </si>
  <si>
    <t>Güisqui sin soda LQNS8</t>
  </si>
  <si>
    <t>Y si amanece por fin LQNS9</t>
  </si>
  <si>
    <t>Por el bulevar de los sueños rotos LQNS10</t>
  </si>
  <si>
    <t>Conductores suicidas LQNS11</t>
  </si>
  <si>
    <t>El rocanrol de los idiotas LQNS12</t>
  </si>
  <si>
    <t>Ciudadano cero LQNS13</t>
  </si>
  <si>
    <t>Aves de paso LQNS14</t>
  </si>
  <si>
    <t>Ganas de LQNS15</t>
  </si>
  <si>
    <t>Medias negras LQNS16</t>
  </si>
  <si>
    <t>Esta boca es mía LQNS17</t>
  </si>
  <si>
    <t>Incompatibilidad de caracteres</t>
  </si>
  <si>
    <t>La canción de los buenos borrachos</t>
  </si>
  <si>
    <t>La hoguera</t>
  </si>
  <si>
    <t>Deltoya</t>
  </si>
  <si>
    <t>Autorretrato</t>
  </si>
  <si>
    <t>Mamá</t>
  </si>
  <si>
    <t>Taburete</t>
  </si>
  <si>
    <t>México D.F.</t>
  </si>
  <si>
    <t>Dos tequilas</t>
  </si>
  <si>
    <t>Ella</t>
  </si>
  <si>
    <t>Las últimas flores</t>
  </si>
  <si>
    <t>Amos del piano bar</t>
  </si>
  <si>
    <t>Walter Palmeras</t>
  </si>
  <si>
    <t>Caminito a Motel</t>
  </si>
  <si>
    <t>Al alba</t>
  </si>
  <si>
    <t>Dr. Charas</t>
  </si>
  <si>
    <t>El pato</t>
  </si>
  <si>
    <t>Hijos del soul</t>
  </si>
  <si>
    <t>El rey del contrabando</t>
  </si>
  <si>
    <t>Kaiserlautern</t>
  </si>
  <si>
    <t>Johnny Pistolas</t>
  </si>
  <si>
    <t>El fin</t>
  </si>
  <si>
    <t>Blue Rihanna</t>
  </si>
  <si>
    <t>Madame Ayahuasca</t>
  </si>
  <si>
    <t>Las palabras</t>
  </si>
  <si>
    <t>Belerofón</t>
  </si>
  <si>
    <t>Grillos</t>
  </si>
  <si>
    <t>Por lo que pueda pasar</t>
  </si>
  <si>
    <t>Carnaval</t>
  </si>
  <si>
    <t>Entre tus piernas</t>
  </si>
  <si>
    <t>Mi vida loca</t>
  </si>
  <si>
    <t>El perdedor</t>
  </si>
  <si>
    <t>La broma infinita</t>
  </si>
  <si>
    <t>2018: Odisea en el espacio</t>
  </si>
  <si>
    <t>El último baile de Dunas Mitchell</t>
  </si>
  <si>
    <t>Abierto en vena</t>
  </si>
  <si>
    <t>Brindo</t>
  </si>
  <si>
    <t>Calçots y mangos</t>
  </si>
  <si>
    <t>Salto al vacío</t>
  </si>
  <si>
    <t>Venado tuerto</t>
  </si>
  <si>
    <t>John Ford</t>
  </si>
  <si>
    <t>La rosa y la cruz (Los rebeldes)</t>
  </si>
  <si>
    <t>Palabras sin nombre (Duncan Dhu)</t>
  </si>
  <si>
    <t>Donde más lejos</t>
  </si>
  <si>
    <t>Cosas que suenan a</t>
  </si>
  <si>
    <t>Te prometo libertad</t>
  </si>
  <si>
    <t>Extraordinario</t>
  </si>
  <si>
    <t>Lo que tú prefieras</t>
  </si>
  <si>
    <t>No podíamos ser agua</t>
  </si>
  <si>
    <t>Supelícula</t>
  </si>
  <si>
    <t>Despistaos</t>
  </si>
  <si>
    <t>Resucito</t>
  </si>
  <si>
    <t>Balas de plata</t>
  </si>
  <si>
    <t>Sentada en un sueño</t>
  </si>
  <si>
    <t>Si no estás</t>
  </si>
  <si>
    <t>Sopórtales</t>
  </si>
  <si>
    <t>En la nevera</t>
  </si>
  <si>
    <t>De rama en rama</t>
  </si>
  <si>
    <t>La noche en vela</t>
  </si>
  <si>
    <t>Sueña rojo</t>
  </si>
  <si>
    <t>Escarbando</t>
  </si>
  <si>
    <t>Ponme de beber</t>
  </si>
  <si>
    <t>137 horas</t>
  </si>
  <si>
    <t>Menos</t>
  </si>
  <si>
    <t>Es importante</t>
  </si>
  <si>
    <t>Necesito vino</t>
  </si>
  <si>
    <t>La última página</t>
  </si>
  <si>
    <t>Fuego en las venas</t>
  </si>
  <si>
    <t>Jugando a las tinieblas</t>
  </si>
  <si>
    <t>Migas de pan</t>
  </si>
  <si>
    <t>Na na na</t>
  </si>
  <si>
    <t>Seguir adelante</t>
  </si>
  <si>
    <t>Un miércoles cualquiera</t>
  </si>
  <si>
    <t>A la luz de tus piernas</t>
  </si>
  <si>
    <t>Este cuerpo no es el mío</t>
  </si>
  <si>
    <t>Y a ti qué te importa</t>
  </si>
  <si>
    <t>Estoy aquí</t>
  </si>
  <si>
    <t>Ahora que no me ves</t>
  </si>
  <si>
    <t>Caricias en tu espalda</t>
  </si>
  <si>
    <t>El malo del cuento</t>
  </si>
  <si>
    <t>Corazón de hielo</t>
  </si>
  <si>
    <t>El hotel de tu pecho</t>
  </si>
  <si>
    <t>Una rosa es una rosa (Mecano)</t>
  </si>
  <si>
    <t>El silencio</t>
  </si>
  <si>
    <t>Estrella</t>
  </si>
  <si>
    <t>Cada dos minutos</t>
  </si>
  <si>
    <t>Los zapatos de un payaso</t>
  </si>
  <si>
    <t>Tus fines de semana</t>
  </si>
  <si>
    <t>Frágil</t>
  </si>
  <si>
    <t>Lo que hemos vivido</t>
  </si>
  <si>
    <t>Ciego y viéndolas venir</t>
  </si>
  <si>
    <t>Cuando lloras</t>
  </si>
  <si>
    <t>Vivir al revés</t>
  </si>
  <si>
    <t>Un beso y nada más</t>
  </si>
  <si>
    <t>Física o química</t>
  </si>
  <si>
    <t>Nada de qué hablar</t>
  </si>
  <si>
    <t>Hasta que pase la tormenta</t>
  </si>
  <si>
    <t>De una patada</t>
  </si>
  <si>
    <t>Desde que nos estamos dejando</t>
  </si>
  <si>
    <t>Y mírame</t>
  </si>
  <si>
    <t>Se me olvida olvidarte</t>
  </si>
  <si>
    <t>No</t>
  </si>
  <si>
    <t>Mañana por la mañana</t>
  </si>
  <si>
    <t>Tu barco de papel</t>
  </si>
  <si>
    <t>Después de disimular</t>
  </si>
  <si>
    <t>Cuando te despiertas</t>
  </si>
  <si>
    <t>Dibujando primaveras</t>
  </si>
  <si>
    <t>Con un poco de suerte</t>
  </si>
  <si>
    <t>Casi siempre casi nada</t>
  </si>
  <si>
    <t>Los días contados</t>
  </si>
  <si>
    <t>Como antes</t>
  </si>
  <si>
    <t>Te quedas a mi lado</t>
  </si>
  <si>
    <t>Tras tu escote</t>
  </si>
  <si>
    <t>Kansas City</t>
  </si>
  <si>
    <t>Las cosas en su sitio</t>
  </si>
  <si>
    <t>Y tú más perra</t>
  </si>
  <si>
    <t>Niebla</t>
  </si>
  <si>
    <t>El principio del final</t>
  </si>
  <si>
    <t>Echarte de menos</t>
  </si>
  <si>
    <t>No me importa nada (Luz Casal)</t>
  </si>
  <si>
    <t>Lo contrario de ninguno</t>
  </si>
  <si>
    <t>Lo que quedaba del invierno</t>
  </si>
  <si>
    <t>Mi accidente preferido</t>
  </si>
  <si>
    <t>En tus manos</t>
  </si>
  <si>
    <t>Estamos enteros</t>
  </si>
  <si>
    <t>Vuelve a verme</t>
  </si>
  <si>
    <t>Las cosas se me olvidan</t>
  </si>
  <si>
    <t>Quién te acompañará</t>
  </si>
  <si>
    <t>El primer paso</t>
  </si>
  <si>
    <t>Octavius</t>
  </si>
  <si>
    <t>Grita fuerte mi nombre</t>
  </si>
  <si>
    <t>Inseparables</t>
  </si>
  <si>
    <t>Viento y vida</t>
  </si>
  <si>
    <t>Quédate a dormir conmigo</t>
  </si>
  <si>
    <t>No te sueltes nunca más de mí</t>
  </si>
  <si>
    <t>Vulnerables</t>
  </si>
  <si>
    <t>No dejes de soñar</t>
  </si>
  <si>
    <t>Un beso redondo</t>
  </si>
  <si>
    <t>El pescao</t>
  </si>
  <si>
    <t>Laura</t>
  </si>
  <si>
    <t>Mejor (Los Brincos)</t>
  </si>
  <si>
    <t>Venecia</t>
  </si>
  <si>
    <t>Y sin embargo (intro)</t>
  </si>
  <si>
    <t>A través de los ojos</t>
  </si>
  <si>
    <t>Dime a qué has venido</t>
  </si>
  <si>
    <t>Copla del precipicio</t>
  </si>
  <si>
    <t>Dame</t>
  </si>
  <si>
    <t>5 estrellas</t>
  </si>
  <si>
    <t>Cerraré los ojos</t>
  </si>
  <si>
    <t>Deprimencia</t>
  </si>
  <si>
    <t>Qué será (José Feliciano)</t>
  </si>
  <si>
    <t>Un pingüino en mi ascensor</t>
  </si>
  <si>
    <t>Atrapados en el ascensor</t>
  </si>
  <si>
    <t>El sangriento final de Bobby Johnson</t>
  </si>
  <si>
    <t>Perestroika</t>
  </si>
  <si>
    <t>El arzobispo Makarios</t>
  </si>
  <si>
    <t>Moda y meditación</t>
  </si>
  <si>
    <t>Nena, quiero estar contigo</t>
  </si>
  <si>
    <t>El balneario</t>
  </si>
  <si>
    <t>Trabajando en la carretera</t>
  </si>
  <si>
    <t>El camión de la basura ilegal</t>
  </si>
  <si>
    <t>Arqueología en mi jardín</t>
  </si>
  <si>
    <t>La balada de Benito Carrizosa</t>
  </si>
  <si>
    <t>Espiando a mi vecina</t>
  </si>
  <si>
    <t>El sendero luminoso me persigue sin reposo</t>
  </si>
  <si>
    <t>Mi café</t>
  </si>
  <si>
    <t>Juegas con mi corazón</t>
  </si>
  <si>
    <t>El ama de casa estafada por la publicidad</t>
  </si>
  <si>
    <t>Secuestrado por tu amor</t>
  </si>
  <si>
    <t>Por la mañanita</t>
  </si>
  <si>
    <t>Tu carnicero particular</t>
  </si>
  <si>
    <t>El amor no es un juego</t>
  </si>
  <si>
    <t>El poderoso influjo de la luna</t>
  </si>
  <si>
    <t>El sueño de una noche de primavera</t>
  </si>
  <si>
    <t>Tú me induces al mal</t>
  </si>
  <si>
    <t>C. A. M. P.</t>
  </si>
  <si>
    <t>El hombre de la grúa</t>
  </si>
  <si>
    <t>He-Man y Barbie</t>
  </si>
  <si>
    <t>La cámara oculta</t>
  </si>
  <si>
    <t>La diligencia</t>
  </si>
  <si>
    <t>Te he prometido</t>
  </si>
  <si>
    <t>Óscar</t>
  </si>
  <si>
    <t>El club de tenis</t>
  </si>
  <si>
    <t>La vaca se ríe</t>
  </si>
  <si>
    <t>Doña Cristina</t>
  </si>
  <si>
    <t>Lanzadora de puñales</t>
  </si>
  <si>
    <t>Mulatita</t>
  </si>
  <si>
    <t>El que algo quiere algo le cuesta</t>
  </si>
  <si>
    <t>La guerra nuclear</t>
  </si>
  <si>
    <t>En la variedad está la diversión</t>
  </si>
  <si>
    <t>Sitios que terminan con la "u"</t>
  </si>
  <si>
    <t>Hablando con la pared</t>
  </si>
  <si>
    <t>Qué culpa tengo yo de llamarme Pérez</t>
  </si>
  <si>
    <t>Harto de decir que sí</t>
  </si>
  <si>
    <t>Cállate</t>
  </si>
  <si>
    <t>No pierdas de vista tu corazón</t>
  </si>
  <si>
    <t>No vas a poder</t>
  </si>
  <si>
    <t>Blancanieves II (el regreso)</t>
  </si>
  <si>
    <t>El supercomisario</t>
  </si>
  <si>
    <t>Televisión Star</t>
  </si>
  <si>
    <t>Pruebas de paternidad</t>
  </si>
  <si>
    <t>Yo quiero que me llames tú, pero sólo me llama Vodafone</t>
  </si>
  <si>
    <t>Supergilipollas</t>
  </si>
  <si>
    <t>Y a mí qué coño me importa que no seas de verdad</t>
  </si>
  <si>
    <t>Aquí el astronauta García</t>
  </si>
  <si>
    <t>Los malos te gustan más</t>
  </si>
  <si>
    <t>Qué fue de aquella tía que buscaba a Jacq's</t>
  </si>
  <si>
    <t>Hace sol y es viernes</t>
  </si>
  <si>
    <t>Qué tiene él que no tenga yo</t>
  </si>
  <si>
    <t>No creáis que mola tanto vivir en Andorra</t>
  </si>
  <si>
    <t>Por qué ya no salgo tanto en el Hola</t>
  </si>
  <si>
    <t>Cada noche me suicido</t>
  </si>
  <si>
    <t>Asaltar el capitolio</t>
  </si>
  <si>
    <t>Jota jota</t>
  </si>
  <si>
    <t>Nana para un niño indígena</t>
  </si>
  <si>
    <t>Ojalá (Silvio Rodríguez)</t>
  </si>
  <si>
    <t>Nueces (Coti)</t>
  </si>
  <si>
    <t>Marieta</t>
  </si>
  <si>
    <t>Un burdo rumor</t>
  </si>
  <si>
    <t>Pasándolo bien</t>
  </si>
  <si>
    <t>El cromosoma</t>
  </si>
  <si>
    <t>Un santo varón</t>
  </si>
  <si>
    <t>Mi ovejita Lucera</t>
  </si>
  <si>
    <t>Villatripas</t>
  </si>
  <si>
    <t>Adivina, adivinanza</t>
  </si>
  <si>
    <t>Nos ocupamos del mar</t>
  </si>
  <si>
    <t>Zona cero (Lacuerda cambio de tono)</t>
  </si>
  <si>
    <t>Histéricos</t>
  </si>
  <si>
    <t>Iceberg</t>
  </si>
  <si>
    <t>Fito</t>
  </si>
  <si>
    <t>Rojitas las orejas</t>
  </si>
  <si>
    <t>Trozos de cristal</t>
  </si>
  <si>
    <t>Barra americana</t>
  </si>
  <si>
    <t>Mirando al cielo</t>
  </si>
  <si>
    <t>El lobo se espanta</t>
  </si>
  <si>
    <t>Qué divertido</t>
  </si>
  <si>
    <t>Trapos sucios</t>
  </si>
  <si>
    <t>Ojos de serpiente</t>
  </si>
  <si>
    <t>El funeral</t>
  </si>
  <si>
    <t>Al mar</t>
  </si>
  <si>
    <t>Para toda la vida</t>
  </si>
  <si>
    <t>Perro viejo</t>
  </si>
  <si>
    <t>Cerca de las vías</t>
  </si>
  <si>
    <t>A la luna se le ve el ombligo</t>
  </si>
  <si>
    <t>Ni negro ni blanco</t>
  </si>
  <si>
    <t>Sevilla de Bilbao</t>
  </si>
  <si>
    <t>A mil kilómetros</t>
  </si>
  <si>
    <t>La casa por el tejado</t>
  </si>
  <si>
    <t>Un buen castigo</t>
  </si>
  <si>
    <t>Feo</t>
  </si>
  <si>
    <t>El ojo que me mira</t>
  </si>
  <si>
    <t>Soldadito marinero</t>
  </si>
  <si>
    <t>Corazón oxidado</t>
  </si>
  <si>
    <t>Quiero ser una estrella</t>
  </si>
  <si>
    <t>Nada que decir</t>
  </si>
  <si>
    <t>Las nubes de tu pelo</t>
  </si>
  <si>
    <t>Whisky barato</t>
  </si>
  <si>
    <t>Siempre estoy soñando</t>
  </si>
  <si>
    <t>Por la boca vive el pez</t>
  </si>
  <si>
    <t>Me equivocaría otra vez</t>
  </si>
  <si>
    <t>Como pollo sin cabeza</t>
  </si>
  <si>
    <t>Sobra la luz</t>
  </si>
  <si>
    <t>Viene y va</t>
  </si>
  <si>
    <t>Donde todo empieza</t>
  </si>
  <si>
    <t>Acabo de llegar</t>
  </si>
  <si>
    <t>No soy Bo Diddley</t>
  </si>
  <si>
    <t>Medalla de cartón</t>
  </si>
  <si>
    <t>Abrazado a la tristeza</t>
  </si>
  <si>
    <t>Antes de que cuente diez</t>
  </si>
  <si>
    <t>Me acordé de ti</t>
  </si>
  <si>
    <t>Tarde o temprano</t>
  </si>
  <si>
    <t>Catorce vidas son dos gatos</t>
  </si>
  <si>
    <t>Todo a cien</t>
  </si>
  <si>
    <t>Los huesos de los besos</t>
  </si>
  <si>
    <t>Que me arrastre el viento</t>
  </si>
  <si>
    <t>Qué necesario es el rock &amp; roll</t>
  </si>
  <si>
    <t>Conozco un lugar</t>
  </si>
  <si>
    <t>La cuisine de Bernard</t>
  </si>
  <si>
    <t>Entre la espada y la pared</t>
  </si>
  <si>
    <t>Lo que sobra de mí</t>
  </si>
  <si>
    <t>Pájaros disecados</t>
  </si>
  <si>
    <t>El vencido</t>
  </si>
  <si>
    <t>Lo que siempre quise hacer</t>
  </si>
  <si>
    <t>Después del naufragio</t>
  </si>
  <si>
    <t>Entre dos mares</t>
  </si>
  <si>
    <t>Cada vez cadáver</t>
  </si>
  <si>
    <t>Cielo hermético</t>
  </si>
  <si>
    <t>Fantasmas</t>
  </si>
  <si>
    <t>A quemarropa</t>
  </si>
  <si>
    <t>Los palabras arden</t>
  </si>
  <si>
    <t>Si me ves así</t>
  </si>
  <si>
    <t>Quiero gritar</t>
  </si>
  <si>
    <t>En el barro</t>
  </si>
  <si>
    <t>A morir cantando</t>
  </si>
  <si>
    <t>Transporte</t>
  </si>
  <si>
    <t>Sin rumbo y sin dirección (Lacuerda: como una piedra)</t>
  </si>
  <si>
    <t>Podría ser (letra)</t>
  </si>
  <si>
    <t>Stranger things</t>
  </si>
  <si>
    <t>Flecha</t>
  </si>
  <si>
    <t>41 películas porno</t>
  </si>
  <si>
    <t>Columna1</t>
  </si>
  <si>
    <t>Estopa</t>
  </si>
  <si>
    <t>Les Luthiers</t>
  </si>
  <si>
    <t>Infinitos</t>
  </si>
  <si>
    <t>Premio de consolación</t>
  </si>
  <si>
    <t>Con el pañuelo en los ojos</t>
  </si>
  <si>
    <t>Diazepam</t>
  </si>
  <si>
    <t>A medio centímetro</t>
  </si>
  <si>
    <t>Peligrosamente dark</t>
  </si>
  <si>
    <t>Blancos fáciles</t>
  </si>
  <si>
    <t>Inertes</t>
  </si>
  <si>
    <t>Llegará</t>
  </si>
  <si>
    <t>Duerme conmigo</t>
  </si>
  <si>
    <t>Eres más complicada que armar un mueble de IKEA</t>
  </si>
  <si>
    <t>El apocalipsis</t>
  </si>
  <si>
    <t>No hay nada más frustrante que hacer anuncios de suavizante</t>
  </si>
  <si>
    <t>Querida Catherine Zeta</t>
  </si>
  <si>
    <t>Me la pegó</t>
  </si>
  <si>
    <t>Me olvidé de todo excepto de ti</t>
  </si>
  <si>
    <t>Exigí tu liberación</t>
  </si>
  <si>
    <t>No me hagáis oír a Kenny G</t>
  </si>
  <si>
    <t>No es correcto el abandono</t>
  </si>
  <si>
    <t>Hoy la he mirado y ella no ha echado la pota</t>
  </si>
  <si>
    <t>La leyenda de Joaquín Sabandija</t>
  </si>
  <si>
    <t>Es ciencia ficción</t>
  </si>
  <si>
    <t>No tengo nada que ver</t>
  </si>
  <si>
    <t>Si yo fuera un poeta</t>
  </si>
  <si>
    <t>Quién coño es Emilio Tuchi</t>
  </si>
  <si>
    <t>Fichar a Punset de director de marketing de Bimbo</t>
  </si>
  <si>
    <t>Mi chica me dejó</t>
  </si>
  <si>
    <t>La venganza de Miss Melilla</t>
  </si>
  <si>
    <t>Las greñas de Bob</t>
  </si>
  <si>
    <t>En ocasiones veo gaiteros</t>
  </si>
  <si>
    <t>Me compré una Vespa para parecerme un mod pero parezco un pijo</t>
  </si>
  <si>
    <t>No es el mejor momento para hacerse perroflauta</t>
  </si>
  <si>
    <t>Tú has sido fan de Glenn Medeiros</t>
  </si>
  <si>
    <t>Peta Zetas</t>
  </si>
  <si>
    <t>Esta Navidad no debería haber piedad</t>
  </si>
  <si>
    <t>Es tanto lo que me has hecho llorar</t>
  </si>
  <si>
    <t>Emilia por Dios</t>
  </si>
  <si>
    <t>Trabajo mecánico</t>
  </si>
  <si>
    <t>Yo secuestré a Natacha</t>
  </si>
  <si>
    <t>Foie gras, foie gras</t>
  </si>
  <si>
    <t>Piernas ortopédicas</t>
  </si>
  <si>
    <t>Mándame un giro</t>
  </si>
  <si>
    <t>Vuelo en Ryanair</t>
  </si>
  <si>
    <t>Otro brick de Don Simón</t>
  </si>
  <si>
    <t>Un disco del Fary</t>
  </si>
  <si>
    <t>Pitis</t>
  </si>
  <si>
    <t>Ur-Ur-dangarín</t>
  </si>
  <si>
    <t>Quiero pillar cacho</t>
  </si>
  <si>
    <t>Qué hay en mi pis</t>
  </si>
  <si>
    <t>Me han sodomizado</t>
  </si>
  <si>
    <t>50 costras de Grey</t>
  </si>
  <si>
    <t>Tengo alopecia</t>
  </si>
  <si>
    <t>El último hombre sin barba</t>
  </si>
  <si>
    <t>Chica radiactiva</t>
  </si>
  <si>
    <t>Los marcianos son de pueblo</t>
  </si>
  <si>
    <t>Igual que un cantante en una prueba de sonido</t>
  </si>
  <si>
    <t>Hare Christmas</t>
  </si>
  <si>
    <t>El Reno Rodolfito</t>
  </si>
  <si>
    <t>Las mismas (cada Navidad)</t>
  </si>
  <si>
    <t>Mariah Carey</t>
  </si>
  <si>
    <t>Gaspar Melchor de Jovellanos</t>
  </si>
  <si>
    <t>Asintomático</t>
  </si>
  <si>
    <t>180 grados</t>
  </si>
  <si>
    <t>Cariño</t>
  </si>
  <si>
    <t>Valira</t>
  </si>
  <si>
    <t>Canción de pop de amor</t>
  </si>
  <si>
    <t>Bisexual</t>
  </si>
  <si>
    <t>Mierda seca</t>
  </si>
  <si>
    <t>:(</t>
  </si>
  <si>
    <t>Excusas</t>
  </si>
  <si>
    <t>Te brillan</t>
  </si>
  <si>
    <t>Modo avión</t>
  </si>
  <si>
    <t>Si quieres</t>
  </si>
  <si>
    <t>No me convengo</t>
  </si>
  <si>
    <t>Llorando en la acera</t>
  </si>
  <si>
    <t>Bonus trap</t>
  </si>
  <si>
    <t>Soy una perra</t>
  </si>
  <si>
    <t>Lo que te quiero</t>
  </si>
  <si>
    <t>La habitación</t>
  </si>
  <si>
    <t>Antes</t>
  </si>
  <si>
    <t>Tamagotchi</t>
  </si>
  <si>
    <t>Sadmeal</t>
  </si>
  <si>
    <t>Algo ha cambiado</t>
  </si>
  <si>
    <t>Sofía Ellar</t>
  </si>
  <si>
    <t>Tomando tequila</t>
  </si>
  <si>
    <t>He preparao café</t>
  </si>
  <si>
    <t>Entre Tirso y Benavente</t>
  </si>
  <si>
    <t>No es tu culpa</t>
  </si>
  <si>
    <t>El rayo verde</t>
  </si>
  <si>
    <t>Segundas partes entre suicidas</t>
  </si>
  <si>
    <t>Amor de anticuario</t>
  </si>
  <si>
    <t>G&amp;T</t>
  </si>
  <si>
    <t>Seis peniques</t>
  </si>
  <si>
    <t>Hace dos perdices</t>
  </si>
  <si>
    <t>Rock'n'rolles de chiquillos</t>
  </si>
  <si>
    <t>Así no</t>
  </si>
  <si>
    <t>Mundos</t>
  </si>
  <si>
    <t>Con la M</t>
  </si>
  <si>
    <t>Bulevares y deslices</t>
  </si>
  <si>
    <t>Tus movidas</t>
  </si>
  <si>
    <t>Serenatas baratas</t>
  </si>
  <si>
    <t>Fiesta en mi duna</t>
  </si>
  <si>
    <t>Hoy que somos locos</t>
  </si>
  <si>
    <t>Borrachos de sueño</t>
  </si>
  <si>
    <t>Nota en Do</t>
  </si>
  <si>
    <t>Sin avisar</t>
  </si>
  <si>
    <t>Mundos?</t>
  </si>
  <si>
    <t>X Navidad</t>
  </si>
  <si>
    <t>La chica de la curva</t>
  </si>
  <si>
    <t>Mikel Erentxun</t>
  </si>
  <si>
    <t>Evohé</t>
  </si>
  <si>
    <t>Joaquín Sabina</t>
  </si>
  <si>
    <t>Todavía una canción de amor</t>
  </si>
  <si>
    <t>Acuérdate de mí (JMS)</t>
  </si>
  <si>
    <t>Canción de adiós</t>
  </si>
  <si>
    <t>Baladí</t>
  </si>
  <si>
    <t>El anfitrión</t>
  </si>
  <si>
    <t>Propósitos de año nuevo</t>
  </si>
  <si>
    <t>La senda</t>
  </si>
  <si>
    <t>Tu opinión</t>
  </si>
  <si>
    <t>Para vivir</t>
  </si>
  <si>
    <t>Vente a vivir conmigo</t>
  </si>
  <si>
    <t>O algo</t>
  </si>
  <si>
    <t>Cosas de los vivientes</t>
  </si>
  <si>
    <t>Youtuber</t>
  </si>
  <si>
    <t>El pasaje del terror</t>
  </si>
  <si>
    <t>Caballos salvajes</t>
  </si>
  <si>
    <t>Atrapado en el tiempo</t>
  </si>
  <si>
    <t>Precipicios</t>
  </si>
  <si>
    <t>El ruido de la calle</t>
  </si>
  <si>
    <t>Trece</t>
  </si>
  <si>
    <t>Filomena</t>
  </si>
  <si>
    <t>El monstruo final</t>
  </si>
  <si>
    <t>Volando en círculos</t>
  </si>
  <si>
    <t>Cazautor</t>
  </si>
  <si>
    <t>Te voy a decir la verdad</t>
  </si>
  <si>
    <t>El más sucio de los nombres</t>
  </si>
  <si>
    <t>La grillera</t>
  </si>
  <si>
    <t>Ceniciento</t>
  </si>
  <si>
    <t>Esta puta soledad</t>
  </si>
  <si>
    <t>Lo habido</t>
  </si>
  <si>
    <t>Más me duele a mí</t>
  </si>
  <si>
    <t>Nuestra fosa</t>
  </si>
  <si>
    <t>Se acaba el baile</t>
  </si>
  <si>
    <t>Buena muerte</t>
  </si>
  <si>
    <t>Otra cicatriz</t>
  </si>
  <si>
    <t>No digas que no (Enrique Urquijo)</t>
  </si>
  <si>
    <t>Contra todo pronóstico</t>
  </si>
  <si>
    <t>Su Romeo</t>
  </si>
  <si>
    <t>Otros</t>
  </si>
  <si>
    <t>Extremoduro - Bri bri bli bli</t>
  </si>
  <si>
    <t>Extremoduro - Dulce introducción al caos</t>
  </si>
  <si>
    <t>Extremoduro - Golfa</t>
  </si>
  <si>
    <t>Extremoduro - Jesucristo García</t>
  </si>
  <si>
    <t>Extremoduro - La vereda de la puerta de atrás</t>
  </si>
  <si>
    <t>Extremoduro - Quemando tus recuerdos</t>
  </si>
  <si>
    <t>Extremoduro - Si te vas</t>
  </si>
  <si>
    <t>Extremoduro - So payaso</t>
  </si>
  <si>
    <t>Quique González - Charo</t>
  </si>
  <si>
    <t>Quique González - La fábrica</t>
  </si>
  <si>
    <t>Quique González - Salitre</t>
  </si>
  <si>
    <t>Quique González - Sangre en el marcador</t>
  </si>
  <si>
    <t>Quique González - De haberlo sabido</t>
  </si>
  <si>
    <t>Quique González - Y los conserjes de noche</t>
  </si>
  <si>
    <t>Pablo Milanés – Si ella me faltara alguna vez</t>
  </si>
  <si>
    <t>Cómplices - Es por ti</t>
  </si>
  <si>
    <t>Marwan</t>
  </si>
  <si>
    <t>Antonio Vega - Lucha de gigantes</t>
  </si>
  <si>
    <t>Paco Bello - No sabes cuánto te he querido</t>
  </si>
  <si>
    <t>Alberto Martín - Desenfocar el mundo</t>
  </si>
  <si>
    <t>Antonio Vega - El sitio de mi recreo</t>
  </si>
  <si>
    <t>Y sigas sin saber lo que es amor</t>
  </si>
  <si>
    <t>Jorge Drexler</t>
  </si>
  <si>
    <t>Extremoduro - Standby</t>
  </si>
  <si>
    <t>Izal - Conclusión en do para ukelele</t>
  </si>
  <si>
    <t>Izal - Copacabana</t>
  </si>
  <si>
    <t>Izal - La mujer de verde</t>
  </si>
  <si>
    <t>Izal - Sueños lentos, aviones veloces</t>
  </si>
  <si>
    <t>Vetusta Morla</t>
  </si>
  <si>
    <t>Supersubmarina</t>
  </si>
  <si>
    <t>Ahora estará en París
https://www.youtube.com/watch?v=bh-NCG5kUoE</t>
  </si>
  <si>
    <t>Itoiz - Lau teilatu</t>
  </si>
  <si>
    <t>Izal - Pequeña gran revolución
https://www.youtube.com/watch?v=5bvEbqlf0BY</t>
  </si>
  <si>
    <t>Izal - Pausa
https://www.youtube.com/watch?v=nu4k1TSkE7g</t>
  </si>
  <si>
    <t>Izal - Qué bien</t>
  </si>
  <si>
    <t>Mocedades - La otra España</t>
  </si>
  <si>
    <t>Vicky Gastelo - Aunque no sea yo</t>
  </si>
  <si>
    <t>Luis Ramiro - El monstruo del armario</t>
  </si>
  <si>
    <t>Luis Ramiro - La sirena</t>
  </si>
  <si>
    <t>Luis Ramiro - Perfecta</t>
  </si>
  <si>
    <t>Sintiéndolo mucho</t>
  </si>
  <si>
    <t>M con reproche</t>
  </si>
  <si>
    <t>Izal - Canción para nadie</t>
  </si>
  <si>
    <t>El anillo de boda</t>
  </si>
  <si>
    <t>Adictos a la euforia</t>
  </si>
  <si>
    <t>Desde que no estás aquí</t>
  </si>
  <si>
    <t>Esta guerra tuya y mía</t>
  </si>
  <si>
    <t>Al infierno sin papeles</t>
  </si>
  <si>
    <t>El otoño está al caer</t>
  </si>
  <si>
    <t>Beguine</t>
  </si>
  <si>
    <t>Calor y tiempo</t>
  </si>
  <si>
    <t>Johnny and Mary</t>
  </si>
  <si>
    <t>Valientes</t>
  </si>
  <si>
    <t>Herbeira</t>
  </si>
  <si>
    <t>Nuestra generación</t>
  </si>
  <si>
    <t>Hamada</t>
  </si>
  <si>
    <t>No te quiero perder</t>
  </si>
  <si>
    <t>Por no decir tu nombre</t>
  </si>
  <si>
    <t>Moraima</t>
  </si>
  <si>
    <t>Teresa y Andrés</t>
  </si>
  <si>
    <t>Pienso en ti</t>
  </si>
  <si>
    <t>Título</t>
  </si>
  <si>
    <t>Álbum</t>
  </si>
  <si>
    <t>html</t>
  </si>
  <si>
    <t>ruta</t>
  </si>
  <si>
    <t>País del sur</t>
  </si>
  <si>
    <t>Ser el mejor</t>
  </si>
  <si>
    <t>Él es el rey</t>
  </si>
  <si>
    <t>Mueve tu cuerpo frente a mí</t>
  </si>
  <si>
    <t>Manager's Blues</t>
  </si>
  <si>
    <t>Me vuelvo loco</t>
  </si>
  <si>
    <t>Mi segundo amor</t>
  </si>
  <si>
    <t>Sur</t>
  </si>
  <si>
    <t>Quiero beber hasta perder el control</t>
  </si>
  <si>
    <t>8.30 A.M.</t>
  </si>
  <si>
    <t>El camino</t>
  </si>
  <si>
    <t>Argán</t>
  </si>
  <si>
    <t>Capitol</t>
  </si>
  <si>
    <t>Sacristán de sacristanes</t>
  </si>
  <si>
    <t>Mestizo, Capitol</t>
  </si>
  <si>
    <t>Si no hubiera que correr, Básico</t>
  </si>
  <si>
    <t>Calle Mayor, Básico 2</t>
  </si>
  <si>
    <t>Básico 2</t>
  </si>
  <si>
    <t>El Dorado, Sur, Básico 2</t>
  </si>
  <si>
    <t>Básico 3</t>
  </si>
  <si>
    <t>8.30 A.M., Básico 3</t>
  </si>
  <si>
    <t>Si no hubiera que correr, Enjoy</t>
  </si>
  <si>
    <t>Argán, Enjoy</t>
  </si>
  <si>
    <t>Sur, Enjoy</t>
  </si>
  <si>
    <t>El Dorado, Básico IV</t>
  </si>
  <si>
    <t>Capitol, Básico IV</t>
  </si>
  <si>
    <t>Básico IV</t>
  </si>
  <si>
    <t>21 gramos, Básico IV</t>
  </si>
  <si>
    <t>Babilonia, Básico IV</t>
  </si>
  <si>
    <t>Sur, Básico IV</t>
  </si>
  <si>
    <t>Revólver, Básico, Rarezas</t>
  </si>
  <si>
    <t>Si no hubiera que correr, Rarezas</t>
  </si>
  <si>
    <t>Si no hubiera que correr, Básico, Enjoy, Rarezas</t>
  </si>
  <si>
    <t>Sur, Rarezas</t>
  </si>
  <si>
    <t>Grandes éxitos</t>
  </si>
  <si>
    <t>Calle Mayor, Básico 2, Grandes éxitos</t>
  </si>
  <si>
    <t>Sur, Básico 3, Grandes éxitos</t>
  </si>
  <si>
    <t>Si no hubiera que correr, Básico, Básico IV, Grandes éxitos</t>
  </si>
  <si>
    <t>Revólver, Básico, Rarezas, Grandes éxitos, Que veinte años no es nada</t>
  </si>
  <si>
    <t>Revólver, Que veinte años no es nada</t>
  </si>
  <si>
    <t>Si no hubiera que correr, Básico, Grandes éxitos, Que veinte años no es nada</t>
  </si>
  <si>
    <t>Básico, Enjoy, Básico IV, Grandes éxitos, Que veinte años no es nada</t>
  </si>
  <si>
    <t>Revólver, Básico, Enjoy, Rarezas, Que veinte años no es nada</t>
  </si>
  <si>
    <t>Si no hubiera que correr, Básico, Rarezas, Que veinte años no es nada</t>
  </si>
  <si>
    <t>Básico, Básico IV, Que veinte años no es nada</t>
  </si>
  <si>
    <t>El Dorado, Básico 2, Enjoy, Rarezas, Grandes éxitos, Que veinte años no es nada</t>
  </si>
  <si>
    <t>El Dorado, Que veinte años no es nada</t>
  </si>
  <si>
    <t>El Dorado, Básico IV, Que veinte años no es nada</t>
  </si>
  <si>
    <t>Calle Mayor, Enjoy, Rarezas, Que veinte años no es nada</t>
  </si>
  <si>
    <t>Calle Mayor, Básico 2, Enjoy, Que veinte años no es nada</t>
  </si>
  <si>
    <t>Calle Mayor, Básico 2, Grandes éxitos, Que veinte años no es nada</t>
  </si>
  <si>
    <t>Calle Mayor, Que veinte años no es nada</t>
  </si>
  <si>
    <t>Calle Mayor, Básico 3, Que veinte años no es nada</t>
  </si>
  <si>
    <t>Básico 2, Grandes éxitos, Que veinte años no es nada</t>
  </si>
  <si>
    <t>Sur, Que veinte años no es nada</t>
  </si>
  <si>
    <t>Sur, Capitol, Básico 3, Enjoy, Grandes éxitos, Que veinte años no es nada</t>
  </si>
  <si>
    <t>Sur, Básico 3, Que veinte años no es nada</t>
  </si>
  <si>
    <t>8.30 A.M., Básico IV, Que veinte años no es nada</t>
  </si>
  <si>
    <t>8.30 A.M., Básico 3, Grandes éxitos, Que veinte años no es nada</t>
  </si>
  <si>
    <t>8.30 A.M., Que veinte años no es nada</t>
  </si>
  <si>
    <t>8.30 A.M., Enjoy, Que veinte años no es nada</t>
  </si>
  <si>
    <t>Enjoy, Grandes éxitos, Que veinte años no es nada</t>
  </si>
  <si>
    <t>Mestizo, Que veinte años no es nada</t>
  </si>
  <si>
    <t>Mestizo, Básico 3, Enjoy, Que veinte años no es nada</t>
  </si>
  <si>
    <t>21 gramos, Enjoy, Que veinte años no es nada</t>
  </si>
  <si>
    <t>21 gramos, Que veinte años no es nada</t>
  </si>
  <si>
    <t>21 gramos, Básico IV, Que veinte años no es nada</t>
  </si>
  <si>
    <t>Que veinte años no es nada</t>
  </si>
  <si>
    <t>Sur, Rarezas, Que veinte años no es nada</t>
  </si>
  <si>
    <t>Juan Charrasqueando</t>
  </si>
  <si>
    <t>Calle Mayor, Rarezas, Que veinte años no es nada</t>
  </si>
  <si>
    <t>Fuimos</t>
  </si>
  <si>
    <t>8.30 A.M., Básico 3, Que veinte años no es nada</t>
  </si>
  <si>
    <t>Lo mejor de lo peor</t>
  </si>
  <si>
    <t>El Dorado, Básico 2, Enjoy, Que veinte años no es nada</t>
  </si>
  <si>
    <t>Básico 3, Que veinte años no es nada</t>
  </si>
  <si>
    <t>Mestizo, Básico 3, Que veinte años no es nada</t>
  </si>
  <si>
    <t>8.30 A.M., Grandes éxitos, Que veinte años no es nada</t>
  </si>
  <si>
    <t>Playlist</t>
  </si>
  <si>
    <t>Azul</t>
  </si>
  <si>
    <t>La vereda de la puerta de atrás</t>
  </si>
  <si>
    <t>Mesa para dos</t>
  </si>
  <si>
    <t>Dónde estás</t>
  </si>
  <si>
    <t>El equilibrio es imposible</t>
  </si>
  <si>
    <t>El sol no regresa</t>
  </si>
  <si>
    <t>Viento de cara</t>
  </si>
  <si>
    <t>Indestructibles</t>
  </si>
  <si>
    <t>OK</t>
  </si>
  <si>
    <t>Autor</t>
  </si>
  <si>
    <t>Revólver, Elefantes</t>
  </si>
  <si>
    <t>Revólver, Amaral</t>
  </si>
  <si>
    <t>Revólver, Seguridad Social</t>
  </si>
  <si>
    <t>Revólver, Jaime Urrutia</t>
  </si>
  <si>
    <t>Revólver, Los Piratas</t>
  </si>
  <si>
    <t>Revólver, La Quinta Estación</t>
  </si>
  <si>
    <t>Revólver, 091</t>
  </si>
  <si>
    <t>Revólver, Maldita la hora</t>
  </si>
  <si>
    <t>Revólver, Mónaco</t>
  </si>
  <si>
    <t>Revólver, La Habitación Roja</t>
  </si>
  <si>
    <t>Revólver, Extremoduro</t>
  </si>
  <si>
    <t>Revólver, Leiva</t>
  </si>
  <si>
    <t>Revólver, Mecano</t>
  </si>
  <si>
    <t>Revólver, Ni un Pelo de Tonto</t>
  </si>
  <si>
    <t>Revólver, Duncan Dhu</t>
  </si>
  <si>
    <t>Revólver, José Feliciano</t>
  </si>
  <si>
    <t>Revólver, Tregua</t>
  </si>
  <si>
    <t>Revólver, Mala Conciencia</t>
  </si>
  <si>
    <t>Revólver, Supersubmarina</t>
  </si>
  <si>
    <t>Revólver, Rubén Pozo</t>
  </si>
  <si>
    <t>Revólver, Leo Dan</t>
  </si>
  <si>
    <t>Cuántas</t>
  </si>
  <si>
    <t>Hechas</t>
  </si>
  <si>
    <t>Porcentaje</t>
  </si>
  <si>
    <t>Rock n Roll</t>
  </si>
  <si>
    <t>LOVG</t>
  </si>
  <si>
    <t>Lloran piedras</t>
  </si>
  <si>
    <t>El viaje de Copperpot</t>
  </si>
  <si>
    <t>Lo que te conté mientras te hacías la dormida</t>
  </si>
  <si>
    <t>Guapa</t>
  </si>
  <si>
    <t>Más guapa</t>
  </si>
  <si>
    <t>Guapa, Más guapa</t>
  </si>
  <si>
    <t>Lo que te conté mientras te hacías la dormida, Más guapa</t>
  </si>
  <si>
    <t>El árbol</t>
  </si>
  <si>
    <t>Escalera a la luna</t>
  </si>
  <si>
    <t>A las cinco en el Astoria</t>
  </si>
  <si>
    <t>Veinte penas</t>
  </si>
  <si>
    <t>Pequeños momentos</t>
  </si>
  <si>
    <t>El viaje de Copperpot, Nuestra casa a la izquierda del tiempo</t>
  </si>
  <si>
    <t>Dile al sol, Nuestra casa a la izquierda del tiempo</t>
  </si>
  <si>
    <t>A las cinco en el Astoria, Nuestra casa a la izquierda del tiempo</t>
  </si>
  <si>
    <t>Lo que te conté mientras te hacías la dormida, Nuestra casa a la izquierda del tiempo</t>
  </si>
  <si>
    <t>Loa loa</t>
  </si>
  <si>
    <t>Nuestra casa a la izquierda del tiempo</t>
  </si>
  <si>
    <t>Guapa, Nuestra casa a la izquierda del tiempo</t>
  </si>
  <si>
    <t>Epifanía</t>
  </si>
  <si>
    <t>El planeta imaginario</t>
  </si>
  <si>
    <t>Un susurro en la tormenta</t>
  </si>
  <si>
    <t>Primera fila</t>
  </si>
  <si>
    <t>Singles</t>
  </si>
  <si>
    <t>Total hechas</t>
  </si>
  <si>
    <t>Total cuántas</t>
  </si>
  <si>
    <t>Total porcentaje</t>
  </si>
  <si>
    <t>LA 03010</t>
  </si>
  <si>
    <t>Marcial Cuartero I</t>
  </si>
  <si>
    <t>Lo mejor de mí</t>
  </si>
  <si>
    <t>King's Road</t>
  </si>
  <si>
    <t>Como una margarita entre adoquines</t>
  </si>
  <si>
    <t>Aquellos días</t>
  </si>
  <si>
    <t>Mis asuntos y batallas</t>
  </si>
  <si>
    <t>Mundos paralelos</t>
  </si>
  <si>
    <t>No practicar esgrima con pistoleros</t>
  </si>
  <si>
    <t>Pelea entre dos frentes</t>
  </si>
  <si>
    <t>El último bucanero de San Blas</t>
  </si>
  <si>
    <t>El final</t>
  </si>
  <si>
    <t>Amaral, Cecilia</t>
  </si>
  <si>
    <t>Dragón rojo</t>
  </si>
  <si>
    <t>Salto al color</t>
  </si>
  <si>
    <t>Single</t>
  </si>
  <si>
    <t>Tal y como soy</t>
  </si>
  <si>
    <t>Ahí estás</t>
  </si>
  <si>
    <t>No lo entiendo</t>
  </si>
  <si>
    <t>Rompehielos</t>
  </si>
  <si>
    <t>Eso que te vuela la cabeza</t>
  </si>
  <si>
    <t>Podría haber sido yo</t>
  </si>
  <si>
    <t>Viernes Santo</t>
  </si>
  <si>
    <t>Dolce Vita</t>
  </si>
  <si>
    <t>Los demonios del fuego</t>
  </si>
  <si>
    <t>En el centro de un tornado</t>
  </si>
  <si>
    <t>La suerte</t>
  </si>
  <si>
    <t>Hasta que la música se acabe</t>
  </si>
  <si>
    <t>La unidad del dolor</t>
  </si>
  <si>
    <t>Pájaros</t>
  </si>
  <si>
    <t>Dolce vita</t>
  </si>
  <si>
    <t>ok</t>
  </si>
  <si>
    <t>archivo</t>
  </si>
  <si>
    <t>title</t>
  </si>
  <si>
    <t>titulo</t>
  </si>
  <si>
    <t>***Esperando un resplandor</t>
  </si>
  <si>
    <t>***Habla</t>
  </si>
  <si>
    <t>***Hoy es el principio del final</t>
  </si>
  <si>
    <t>***MAL Los aviones no pueden volar</t>
  </si>
  <si>
    <t>***Mercado negro</t>
  </si>
  <si>
    <t>***Montaña rusa</t>
  </si>
  <si>
    <t>***No existen los milagros</t>
  </si>
  <si>
    <t>***Queda el silencio</t>
  </si>
  <si>
    <t>320 días (Hace un año)</t>
  </si>
  <si>
    <t>6 + 4</t>
  </si>
  <si>
    <t>Ahora estará en París</t>
  </si>
  <si>
    <t>No fue mentira (Sofía Ellar)</t>
  </si>
  <si>
    <t>Venecia (Ainoa Buitrago)</t>
  </si>
  <si>
    <t>Ay de ti, ay de mí (Luis Eduardo Aute)</t>
  </si>
  <si>
    <t>No puedo vivir sin ti (Los Ronaldos)</t>
  </si>
  <si>
    <t>Prefiero amar (Luis Eduardo Aute)</t>
  </si>
  <si>
    <t>***Tarde</t>
  </si>
  <si>
    <t>Acuérdate de mí (Joan Manuel Serrat)</t>
  </si>
  <si>
    <t>Aves de paso</t>
  </si>
  <si>
    <t>Barbi superstar</t>
  </si>
  <si>
    <t>Ciudadano cero</t>
  </si>
  <si>
    <t>Conductores suicidas</t>
  </si>
  <si>
    <t>Dieguitos y mafaldas</t>
  </si>
  <si>
    <t>El rocanrol de los idiotas</t>
  </si>
  <si>
    <t>Esta boca es mía</t>
  </si>
  <si>
    <t>Esta noche contigo</t>
  </si>
  <si>
    <t>Ganas de</t>
  </si>
  <si>
    <t>Güisqui sin soda</t>
  </si>
  <si>
    <t>Hotel, dulce hotel</t>
  </si>
  <si>
    <t>Juegos de azar</t>
  </si>
  <si>
    <t>La del pirata cojo</t>
  </si>
  <si>
    <t>Medias negras</t>
  </si>
  <si>
    <t>Pacto entre caballeros</t>
  </si>
  <si>
    <t>Por el bulevar de los sueños rotos</t>
  </si>
  <si>
    <t>Princesa</t>
  </si>
  <si>
    <t>Qué demasiao</t>
  </si>
  <si>
    <t>Quién me ha robado el mes de abril</t>
  </si>
  <si>
    <t>Yo quiero ser una chica almodóvar</t>
  </si>
  <si>
    <t>Y si amanece por fin</t>
  </si>
  <si>
    <t>Anticiclón (Iván Ferreiro)</t>
  </si>
  <si>
    <t>San Sebastián – Madrid</t>
  </si>
  <si>
    <t>Te comería a versos</t>
  </si>
  <si>
    <t>Dile al Sol</t>
  </si>
  <si>
    <t>¿Lo ves?</t>
  </si>
  <si>
    <t>Cespellejo</t>
  </si>
  <si>
    <t>Cos alpargatas</t>
  </si>
  <si>
    <t>Cuerme conmigo</t>
  </si>
  <si>
    <t>G caballo</t>
  </si>
  <si>
    <t>G la mierda, primavera</t>
  </si>
  <si>
    <t>Nana del quebranto</t>
  </si>
  <si>
    <t>Ojalá me quieras libre</t>
  </si>
  <si>
    <t>Romance de José Etxailarena</t>
  </si>
  <si>
    <t>Alberto Martín – Desenfocar el mundo</t>
  </si>
  <si>
    <t>Antonio Vega – El sitio de mi recreo</t>
  </si>
  <si>
    <t>Antonio Vega – Lucha de gigantes</t>
  </si>
  <si>
    <t>Cómplices – Es por ti</t>
  </si>
  <si>
    <t>Extremoduro – Bri bri bli bli</t>
  </si>
  <si>
    <t>Extremoduro – Dulce introducción al caos</t>
  </si>
  <si>
    <t>Extremoduro – Golfa</t>
  </si>
  <si>
    <t>Extremoduro – Jesucristo García</t>
  </si>
  <si>
    <t>Extremoduro – La vereda de la puerta de atrás</t>
  </si>
  <si>
    <t>Extremoduro – Quemando tus recuerdos</t>
  </si>
  <si>
    <t>Extremoduro – Si te vas</t>
  </si>
  <si>
    <t>Extremoduro – So payaso</t>
  </si>
  <si>
    <t>Extremoduro – Standby</t>
  </si>
  <si>
    <t>Itoiz – Lau teilatu</t>
  </si>
  <si>
    <t>Izal – A</t>
  </si>
  <si>
    <t>Izal – Canción para nadie</t>
  </si>
  <si>
    <t>Izal – Conclusión en do para ukelele</t>
  </si>
  <si>
    <t>Izal – Copacabana</t>
  </si>
  <si>
    <t>Izal – La mujer de verde</t>
  </si>
  <si>
    <t>Izal – Pausa</t>
  </si>
  <si>
    <t>Izal – Pequeña gran revolución</t>
  </si>
  <si>
    <t>Izal – Qué bien</t>
  </si>
  <si>
    <t>Izal – Sueños lentos, aviones veloces</t>
  </si>
  <si>
    <t>Jorge Drexler – A</t>
  </si>
  <si>
    <t>Luis Ramiro – A</t>
  </si>
  <si>
    <t>Luis Ramiro – El monstruo del armario</t>
  </si>
  <si>
    <t>Luis Ramiro – La sirena</t>
  </si>
  <si>
    <t>Luis Ramiro – Perfecta</t>
  </si>
  <si>
    <t>Marwan – A</t>
  </si>
  <si>
    <t>Mocedades – La otra España</t>
  </si>
  <si>
    <t>Mocedades – Tómame o déjame</t>
  </si>
  <si>
    <t>Paco Bello – No sabes cuánto te he querido</t>
  </si>
  <si>
    <t>Quique González – Charo</t>
  </si>
  <si>
    <t>Quique González – De haberlo sabido</t>
  </si>
  <si>
    <t>Quique González – La fábrica</t>
  </si>
  <si>
    <t>Quique González – Salitre</t>
  </si>
  <si>
    <t>Quique González – Sangre en el marcador</t>
  </si>
  <si>
    <t>Quique González – Y los conserjes de noche</t>
  </si>
  <si>
    <t>Vicky Gastelo – Aunque no sea yo</t>
  </si>
  <si>
    <t>***Animales</t>
  </si>
  <si>
    <t>***Astronauta</t>
  </si>
  <si>
    <t>***Ay</t>
  </si>
  <si>
    <t>***El bar de la esquina</t>
  </si>
  <si>
    <t>***El globo</t>
  </si>
  <si>
    <t>Estrella polar</t>
  </si>
  <si>
    <t>Besaré al suelo</t>
  </si>
  <si>
    <t>Ese viejo rock'n'roll</t>
  </si>
  <si>
    <t>Esta noche a mis pies</t>
  </si>
  <si>
    <t>La luna se esconde</t>
  </si>
  <si>
    <t>La rosa y la cruz</t>
  </si>
  <si>
    <t>Me cuesta tanto olvidarte</t>
  </si>
  <si>
    <t>Muévete</t>
  </si>
  <si>
    <t>Palabras sin nombre</t>
  </si>
  <si>
    <t>Y ahora que</t>
  </si>
  <si>
    <t>Costa da Morte</t>
  </si>
  <si>
    <t>carpeta</t>
  </si>
  <si>
    <t>amaral/1997.html</t>
  </si>
  <si>
    <t>amaral/500_vidas.html</t>
  </si>
  <si>
    <t>amaral/alerta.html</t>
  </si>
  <si>
    <t>amaral/al_final.html</t>
  </si>
  <si>
    <t>amaral/antartida.html</t>
  </si>
  <si>
    <t>amaral/biarritz.html</t>
  </si>
  <si>
    <t>amaral/bien_alta_la_mirada.html</t>
  </si>
  <si>
    <t>amaral/big_bang.html</t>
  </si>
  <si>
    <t>amaral/botas_de_terciopelo.html</t>
  </si>
  <si>
    <t>amaral/cabecita_loca.html</t>
  </si>
  <si>
    <t>amaral/cara_a_cara.html</t>
  </si>
  <si>
    <t>amaral/cazador.html</t>
  </si>
  <si>
    <t>amaral/chatarra.html</t>
  </si>
  <si>
    <t>amaral/como_hablar.html</t>
  </si>
  <si>
    <t>amaral/como_un_martillo_en_la_pared.html</t>
  </si>
  <si>
    <t>amaral/concorde.html</t>
  </si>
  <si>
    <t>amaral/confiar_en_alguien.html</t>
  </si>
  <si>
    <t>amaral/cuando_suba_la_marea.html</t>
  </si>
  <si>
    <t>amaral/deprisa.html</t>
  </si>
  <si>
    <t>amaral/de_carne_y_hueso.html</t>
  </si>
  <si>
    <t>amaral/de_la_noche_a_la_manana.html</t>
  </si>
  <si>
    <t>amaral/dias_de_verano.html</t>
  </si>
  <si>
    <t>amaral/dile_a_la_rabia.html</t>
  </si>
  <si>
    <t>amaral/doce_palabras.html</t>
  </si>
  <si>
    <t>amaral/el_artista_del_alambre.html</t>
  </si>
  <si>
    <t>amaral/el_blues_de_la_generacion_perdida.html</t>
  </si>
  <si>
    <t>amaral/el_centro_de_mis_ojos.html</t>
  </si>
  <si>
    <t>amaral/el_dia_de_ano_nuevo.html</t>
  </si>
  <si>
    <t>amaral/el_mundo_al_reves.html</t>
  </si>
  <si>
    <t>amaral/el_universo_sobre_mi.html</t>
  </si>
  <si>
    <t>amaral/enamorada.html</t>
  </si>
  <si>
    <t>amaral/entre_la_multitud.html</t>
  </si>
  <si>
    <t>amaral/en_el_rio.html</t>
  </si>
  <si>
    <t>amaral/en_el_tiempo_equivocado.html</t>
  </si>
  <si>
    <t>amaral/en_solo_un_segundo.html</t>
  </si>
  <si>
    <t>amaral/escapar.html</t>
  </si>
  <si>
    <t>amaral/esperando_un_resplandor.html</t>
  </si>
  <si>
    <t>amaral/esta_madrugada.html</t>
  </si>
  <si>
    <t>amaral/esta_noche.html</t>
  </si>
  <si>
    <t>amaral/estrella_de_mar.html</t>
  </si>
  <si>
    <t>amaral/es_solo_una_cancion.html</t>
  </si>
  <si>
    <t>amaral/gato_negro.html</t>
  </si>
  <si>
    <t>amaral/habla.html</t>
  </si>
  <si>
    <t>amaral/hacia_lo_salvaje.html</t>
  </si>
  <si>
    <t>amaral/halconera.html</t>
  </si>
  <si>
    <t>amaral/hoy_es_el_principio_del_final.html</t>
  </si>
  <si>
    <t>amaral/juguetes_rotos.html</t>
  </si>
  <si>
    <t>amaral/kamikaze.html</t>
  </si>
  <si>
    <t>amaral/laberintos.html</t>
  </si>
  <si>
    <t>amaral/las_chicas_de_mi_barrio.html</t>
  </si>
  <si>
    <t>amaral/las_puertas_del_infierno.html</t>
  </si>
  <si>
    <t>amaral/la_barrera_del_sonido.html</t>
  </si>
  <si>
    <t>amaral/la_ciudad_maldita.html</t>
  </si>
  <si>
    <t>amaral/la_niebla.html</t>
  </si>
  <si>
    <t>amaral/llevame_muy_lejos.html</t>
  </si>
  <si>
    <t>amaral/lluvia.html</t>
  </si>
  <si>
    <t>amaral/lo_que_nos_mantiene_unidos.html</t>
  </si>
  <si>
    <t>amaral/lo_quiero_oir_de_tu_boca.html</t>
  </si>
  <si>
    <t>amaral/mal_los_aviones_no_pueden_volar.html</t>
  </si>
  <si>
    <t>amaral/mares_igual_que_tu.html</t>
  </si>
  <si>
    <t>amaral/marta_sebas_guille_y_los_demas.html</t>
  </si>
  <si>
    <t>amaral/mercado_negro.html</t>
  </si>
  <si>
    <t>amaral/mi_alma_perdida.html</t>
  </si>
  <si>
    <t>amaral/montana_rusa.html</t>
  </si>
  <si>
    <t>amaral/moriria_por_vos.html</t>
  </si>
  <si>
    <t>amaral/nada_de_nada.html</t>
  </si>
  <si>
    <t>amaral/nadie_nos_recordara.html</t>
  </si>
  <si>
    <t>amaral/noche_de_cuchillos.html</t>
  </si>
  <si>
    <t>amaral/nocturnal.html</t>
  </si>
  <si>
    <t>amaral/no_existen_los_milagros.html</t>
  </si>
  <si>
    <t>amaral/no_sabe_adonde_va.html</t>
  </si>
  <si>
    <t>amaral/no_se_que_hacer_con_mi_vida.html</t>
  </si>
  <si>
    <t>amaral/no_soy_como_tu.html</t>
  </si>
  <si>
    <t>amaral/olvido.html</t>
  </si>
  <si>
    <t>amaral/perdoname.html</t>
  </si>
  <si>
    <t>amaral/queda_el_silencio.html</t>
  </si>
  <si>
    <t>amaral/que_sera.html</t>
  </si>
  <si>
    <t>amaral/resurreccion.html</t>
  </si>
  <si>
    <t>amaral/revolucion.html</t>
  </si>
  <si>
    <t>amaral/riazor.html</t>
  </si>
  <si>
    <t>amaral/robin_hood.html</t>
  </si>
  <si>
    <t>amaral/rock_roll.html</t>
  </si>
  <si>
    <t>amaral/rosa_de_la_paz.html</t>
  </si>
  <si>
    <t>amaral/rosita.html</t>
  </si>
  <si>
    <t>amaral/salir_corriendo.html</t>
  </si>
  <si>
    <t>amaral/salta.html</t>
  </si>
  <si>
    <t>amaral/siento_que_te_extrano.html</t>
  </si>
  <si>
    <t>amaral/sin_ti_no_soy_nada.html</t>
  </si>
  <si>
    <t>amaral/si_las_calles_pudieran_hablar.html</t>
  </si>
  <si>
    <t>amaral/soy_lo_que_soy.html</t>
  </si>
  <si>
    <t>amaral/subamos_al_cielo.html</t>
  </si>
  <si>
    <t>amaral/tardes.html</t>
  </si>
  <si>
    <t>amaral/tarde_de_domingo_rara.html</t>
  </si>
  <si>
    <t>amaral/tarde_para_cambiar.html</t>
  </si>
  <si>
    <t>amaral/te_necesito.html</t>
  </si>
  <si>
    <t>amaral/titulo.html</t>
  </si>
  <si>
    <t>amaral/toda_la_noche_en_la_calle.html</t>
  </si>
  <si>
    <t>amaral/unas_veces_se_gana_y_otras_se_pierde.html</t>
  </si>
  <si>
    <t>amaral/una_pequena_parte_del_mundo.html</t>
  </si>
  <si>
    <t>amaral/un_dia_mas.html</t>
  </si>
  <si>
    <t>amaral/van_como_locos.html</t>
  </si>
  <si>
    <t>amaral/volvera_la_suerte.html</t>
  </si>
  <si>
    <t>amaral/voy_a_acabar_contigo.html</t>
  </si>
  <si>
    <t>andres_suarez/320_dias_hace_un_ano.html</t>
  </si>
  <si>
    <t>andres_suarez/6_4.html</t>
  </si>
  <si>
    <t>andres_suarez/6_de_la_manana.html</t>
  </si>
  <si>
    <t>andres_suarez/ahi_va_la_nina.html</t>
  </si>
  <si>
    <t>andres_suarez/ahora_estara_en_paris.html</t>
  </si>
  <si>
    <t>andres_suarez/ahora_ya_fue.html</t>
  </si>
  <si>
    <t>andres_suarez/apenas_te_conozco.html</t>
  </si>
  <si>
    <t>andres_suarez/asi_fue.html</t>
  </si>
  <si>
    <t>andres_suarez/aun_te_recuerdo.html</t>
  </si>
  <si>
    <t>andres_suarez/a_media_estrella.html</t>
  </si>
  <si>
    <t>andres_suarez/a_traves_de_los_ojos.html</t>
  </si>
  <si>
    <t>andres_suarez/benijo.html</t>
  </si>
  <si>
    <t>andres_suarez/calella.html</t>
  </si>
  <si>
    <t>andres_suarez/cazautor.html</t>
  </si>
  <si>
    <t>andres_suarez/clasificados.html</t>
  </si>
  <si>
    <t>andres_suarez/dama_que_pinta_en_el_sur.html</t>
  </si>
  <si>
    <t>andres_suarez/desamiga.html</t>
  </si>
  <si>
    <t>andres_suarez/desde_una_ventana.html</t>
  </si>
  <si>
    <t>andres_suarez/despiertame.html</t>
  </si>
  <si>
    <t>andres_suarez/dime_a_que_has_venido.html</t>
  </si>
  <si>
    <t>andres_suarez/dublin.html</t>
  </si>
  <si>
    <t>andres_suarez/el_cantante.html</t>
  </si>
  <si>
    <t>andres_suarez/el_corazon_me_arde.html</t>
  </si>
  <si>
    <t>andres_suarez/esta_vez_si_puedes.html</t>
  </si>
  <si>
    <t>andres_suarez/estrellas.html</t>
  </si>
  <si>
    <t>andres_suarez/hay_algo_mas.html</t>
  </si>
  <si>
    <t>andres_suarez/imaginanos.html</t>
  </si>
  <si>
    <t>andres_suarez/lavapies.html</t>
  </si>
  <si>
    <t>andres_suarez/la_proxima_vez_en_lisboa.html</t>
  </si>
  <si>
    <t>andres_suarez/la_vi_bailar_flamenco.html</t>
  </si>
  <si>
    <t>andres_suarez/lo_malo_esta_en_el_aire.html</t>
  </si>
  <si>
    <t>andres_suarez/lunatica.html</t>
  </si>
  <si>
    <t>andres_suarez/luz_de_pregonda.html</t>
  </si>
  <si>
    <t>andres_suarez/mas_de_un_36.html</t>
  </si>
  <si>
    <t>andres_suarez/m_con_reproche.html</t>
  </si>
  <si>
    <t>andres_suarez/necesitaba_un_vals_para_olvidarte.html</t>
  </si>
  <si>
    <t>andres_suarez/nina.html</t>
  </si>
  <si>
    <t>andres_suarez/no_digas_que_no_enrique_urquijo.html</t>
  </si>
  <si>
    <t>andres_suarez/no_dire.html</t>
  </si>
  <si>
    <t>andres_suarez/no_fue_mentira_sofia_ellar.html</t>
  </si>
  <si>
    <t>andres_suarez/no_me_queda_un_abril_para_ti.html</t>
  </si>
  <si>
    <t>andres_suarez/no_saben_de_ti.html</t>
  </si>
  <si>
    <t>andres_suarez/no_te_quiero_tanto.html</t>
  </si>
  <si>
    <t>andres_suarez/numeros_cardinales.html</t>
  </si>
  <si>
    <t>andres_suarez/ojala.html</t>
  </si>
  <si>
    <t>andres_suarez/pequena_historia_de_marina.html</t>
  </si>
  <si>
    <t>andres_suarez/perdon_por_los_bailes.html</t>
  </si>
  <si>
    <t>andres_suarez/piedras_y_charcos.html</t>
  </si>
  <si>
    <t>andres_suarez/propongo.html</t>
  </si>
  <si>
    <t>andres_suarez/que_levante_la_mano.html</t>
  </si>
  <si>
    <t>andres_suarez/rosa_y_manuel.html</t>
  </si>
  <si>
    <t>andres_suarez/sargento_de_hierro.html</t>
  </si>
  <si>
    <t>andres_suarez/seis_caricias.html</t>
  </si>
  <si>
    <t>andres_suarez/serrat_2015.html</t>
  </si>
  <si>
    <t>andres_suarez/sin_saber_decir.html</t>
  </si>
  <si>
    <t>andres_suarez/si_la_veis.html</t>
  </si>
  <si>
    <t>andres_suarez/si_llueve_en_sevilla.html</t>
  </si>
  <si>
    <t>andres_suarez/su_romeo.html</t>
  </si>
  <si>
    <t>andres_suarez/tal_vez_te_acuerdes_de_mi.html</t>
  </si>
  <si>
    <t>andres_suarez/tengo_26.html</t>
  </si>
  <si>
    <t>andres_suarez/te_di_vida_y_media.html</t>
  </si>
  <si>
    <t>andres_suarez/te_doy_media_noche.html</t>
  </si>
  <si>
    <t>andres_suarez/te_vas.html</t>
  </si>
  <si>
    <t>andres_suarez/te_va_a_pasar.html</t>
  </si>
  <si>
    <t>andres_suarez/todavia_puedo_oirte.html</t>
  </si>
  <si>
    <t>andres_suarez/una_noche_de_verano.html</t>
  </si>
  <si>
    <t>andres_suarez/un_solo_dia.html</t>
  </si>
  <si>
    <t>andres_suarez/venecia_ainoa_buitrago.html</t>
  </si>
  <si>
    <t>andres_suarez/volar_sin_ti.html</t>
  </si>
  <si>
    <t>andres_suarez/voy_a_volver_a_quererte.html</t>
  </si>
  <si>
    <t>andres_suarez/vuelve.html</t>
  </si>
  <si>
    <t>andres_suarez/walt_disney.html</t>
  </si>
  <si>
    <t>andres_suarez/y_sigas_sin_saber_lo_que_es_amor.html</t>
  </si>
  <si>
    <t>ella_baila_sola/algo_personal.html</t>
  </si>
  <si>
    <t>ella_baila_sola/amores_de_barra.html</t>
  </si>
  <si>
    <t>ella_baila_sola/ay_de_ti_ay_de_mi_luis_eduardo_aute.html</t>
  </si>
  <si>
    <t>ella_baila_sola/a_mi_ritmo.html</t>
  </si>
  <si>
    <t>ella_baila_sola/baldosas.html</t>
  </si>
  <si>
    <t>ella_baila_sola/besos_de_hielo.html</t>
  </si>
  <si>
    <t>ella_baila_sola/beso_eterno.html</t>
  </si>
  <si>
    <t>ella_baila_sola/calor_que_dar.html</t>
  </si>
  <si>
    <t>ella_baila_sola/claro_que_hace_falta_hablar.html</t>
  </si>
  <si>
    <t>ella_baila_sola/como_repartimos_los_amigos.html</t>
  </si>
  <si>
    <t>ella_baila_sola/confianza.html</t>
  </si>
  <si>
    <t>ella_baila_sola/contigo_me_cruzo_deprisa.html</t>
  </si>
  <si>
    <t>ella_baila_sola/cuando_los_sapos_bailen_flamenco.html</t>
  </si>
  <si>
    <t>ella_baila_sola/despidete.html</t>
  </si>
  <si>
    <t>ella_baila_sola/disimulando.html</t>
  </si>
  <si>
    <t>ella_baila_sola/donde_mas_lejos.html</t>
  </si>
  <si>
    <t>ella_baila_sola/ella_baila_sola.html</t>
  </si>
  <si>
    <t>ella_baila_sola/el_tiempo_de_mi_felicidad.html</t>
  </si>
  <si>
    <t>ella_baila_sola/entra.html</t>
  </si>
  <si>
    <t>ella_baila_sola/entre_tu_cuarto_y_el_mio.html</t>
  </si>
  <si>
    <t>ella_baila_sola/en_medio.html</t>
  </si>
  <si>
    <t>ella_baila_sola/infinito.html</t>
  </si>
  <si>
    <t>ella_baila_sola/junta_los_dedos.html</t>
  </si>
  <si>
    <t>ella_baila_sola/la_parada_del_6.html</t>
  </si>
  <si>
    <t>ella_baila_sola/la_patera.html</t>
  </si>
  <si>
    <t>ella_baila_sola/la_silla_marcada.html</t>
  </si>
  <si>
    <t>ella_baila_sola/lo_echamos_a_suertes.html</t>
  </si>
  <si>
    <t>ella_baila_sola/mal_hotel.html</t>
  </si>
  <si>
    <t>ella_baila_sola/mejor_sin_ti.html</t>
  </si>
  <si>
    <t>ella_baila_sola/mientras_mueves_el_arroz.html</t>
  </si>
  <si>
    <t>ella_baila_sola/muere_el_silencio.html</t>
  </si>
  <si>
    <t>ella_baila_sola/mujer_florero.html</t>
  </si>
  <si>
    <t>ella_baila_sola/nacer_para_encontrarte.html</t>
  </si>
  <si>
    <t>ella_baila_sola/no_lo_vuelvas_a_hacer.html</t>
  </si>
  <si>
    <t>ella_baila_sola/no_todo_esta_perdido.html</t>
  </si>
  <si>
    <t>ella_baila_sola/parece_mentira.html</t>
  </si>
  <si>
    <t>ella_baila_sola/por_ti.html</t>
  </si>
  <si>
    <t>ella_baila_sola/que_se_me_va_de_las_manos.html</t>
  </si>
  <si>
    <t>ella_baila_sola/que_se_te_escapa_el_negro.html</t>
  </si>
  <si>
    <t>ella_baila_sola/seguro_que_si.html</t>
  </si>
  <si>
    <t>ella_baila_sola/sentir.html</t>
  </si>
  <si>
    <t>ella_baila_sola/sin_confesarlo_todo.html</t>
  </si>
  <si>
    <t>ella_baila_sola/solo_he_perdido_un_minuto_contigo.html</t>
  </si>
  <si>
    <t>ella_baila_sola/suelo_de_canicas.html</t>
  </si>
  <si>
    <t>ella_baila_sola/superviviente.html</t>
  </si>
  <si>
    <t>ella_baila_sola/tequila.html</t>
  </si>
  <si>
    <t>ella_baila_sola/te_vas.html</t>
  </si>
  <si>
    <t>ella_baila_sola/tiene_sentido_creer.html</t>
  </si>
  <si>
    <t>ella_baila_sola/victoria.html</t>
  </si>
  <si>
    <t>ella_baila_sola/ya_esta_bien.html</t>
  </si>
  <si>
    <t>ella_baila_sola/y_quisiera.html</t>
  </si>
  <si>
    <t>el_canto_del_loco/acabado_en_a.html</t>
  </si>
  <si>
    <t>el_canto_del_loco/anos_80.html</t>
  </si>
  <si>
    <t>el_canto_del_loco/aquellas_pequenas_cosas.html</t>
  </si>
  <si>
    <t>el_canto_del_loco/aquellos_anos_locos.html</t>
  </si>
  <si>
    <t>el_canto_del_loco/aunque_tu_no_lo_sepas.html</t>
  </si>
  <si>
    <t>el_canto_del_loco/a_contracorriente.html</t>
  </si>
  <si>
    <t>el_canto_del_loco/besos.html</t>
  </si>
  <si>
    <t>el_canto_del_loco/busco_la_vida.html</t>
  </si>
  <si>
    <t>el_canto_del_loco/canciones.html</t>
  </si>
  <si>
    <t>el_canto_del_loco/como_un_perro_ladrando.html</t>
  </si>
  <si>
    <t>el_canto_del_loco/contigo.html</t>
  </si>
  <si>
    <t>el_canto_del_loco/corazon.html</t>
  </si>
  <si>
    <t>el_canto_del_loco/crash.html</t>
  </si>
  <si>
    <t>el_canto_del_loco/dentro_de_mi.html</t>
  </si>
  <si>
    <t>el_canto_del_loco/desaparece.html</t>
  </si>
  <si>
    <t>el_canto_del_loco/despiertame.html</t>
  </si>
  <si>
    <t>el_canto_del_loco/eh_tu.html</t>
  </si>
  <si>
    <t>el_canto_del_loco/el_agricultor.html</t>
  </si>
  <si>
    <t>el_canto_del_loco/el_pescao.html</t>
  </si>
  <si>
    <t>el_canto_del_loco/equis.html</t>
  </si>
  <si>
    <t>el_canto_del_loco/eres_tonto.html</t>
  </si>
  <si>
    <t>el_canto_del_loco/eres_un_canalla.html</t>
  </si>
  <si>
    <t>el_canto_del_loco/feo_fuerte_y_formal.html</t>
  </si>
  <si>
    <t>el_canto_del_loco/fin_de_semana.html</t>
  </si>
  <si>
    <t>el_canto_del_loco/gigante.html</t>
  </si>
  <si>
    <t>el_canto_del_loco/gracias.html</t>
  </si>
  <si>
    <t>el_canto_del_loco/he_vuelto_a_caer.html</t>
  </si>
  <si>
    <t>el_canto_del_loco/insoportable.html</t>
  </si>
  <si>
    <t>el_canto_del_loco/laura.html</t>
  </si>
  <si>
    <t>el_canto_del_loco/la_casa_de_la_bomba.html</t>
  </si>
  <si>
    <t>el_canto_del_loco/la_madre_de_jose.html</t>
  </si>
  <si>
    <t>el_canto_del_loco/la_suerte_de_mi_vida.html</t>
  </si>
  <si>
    <t>el_canto_del_loco/la_vida.html</t>
  </si>
  <si>
    <t>el_canto_del_loco/llueve_en_mi.html</t>
  </si>
  <si>
    <t>el_canto_del_loco/mejor_los_brincos.html</t>
  </si>
  <si>
    <t>el_canto_del_loco/nada_de_nada.html</t>
  </si>
  <si>
    <t>el_canto_del_loco/no_puedo_vivir_sin_ti_los_ronaldos.html</t>
  </si>
  <si>
    <t>el_canto_del_loco/no_quiero_nada.html</t>
  </si>
  <si>
    <t>el_canto_del_loco/no_voy_a_parar.html</t>
  </si>
  <si>
    <t>el_canto_del_loco/otra_vez.html</t>
  </si>
  <si>
    <t>el_canto_del_loco/para_siempre.html</t>
  </si>
  <si>
    <t>el_canto_del_loco/pasion.html</t>
  </si>
  <si>
    <t>el_canto_del_loco/pequenita.html</t>
  </si>
  <si>
    <t>el_canto_del_loco/personas.html</t>
  </si>
  <si>
    <t>el_kanka/alquitran_y_carmin.html</t>
  </si>
  <si>
    <t>el_kanka/andalucia.html</t>
  </si>
  <si>
    <t>el_kanka/ante_la_duda.html</t>
  </si>
  <si>
    <t>el_kanka/autorretrato.html</t>
  </si>
  <si>
    <t>el_kanka/ay_vida_mia.html</t>
  </si>
  <si>
    <t>el_kanka/a_desobedecer.html</t>
  </si>
  <si>
    <t>el_kanka/a_dieta_de_dietas.html</t>
  </si>
  <si>
    <t>el_kanka/baladi.html</t>
  </si>
  <si>
    <t>el_kanka/busquese_una_vida.html</t>
  </si>
  <si>
    <t>el_kanka/cancion_de_adios.html</t>
  </si>
  <si>
    <t>el_kanka/cancion_final.html</t>
  </si>
  <si>
    <t>el_kanka/canela_en_rama.html</t>
  </si>
  <si>
    <t>el_kanka/confesion.html</t>
  </si>
  <si>
    <t>el_kanka/contigo.html</t>
  </si>
  <si>
    <t>el_kanka/con_el_permiso_de_ustedes.html</t>
  </si>
  <si>
    <t>el_kanka/con_las_ganas.html</t>
  </si>
  <si>
    <t>el_kanka/cosas_de_los_vivientes.html</t>
  </si>
  <si>
    <t>el_kanka/del_miercoles_al_martes.html</t>
  </si>
  <si>
    <t>el_kanka/demasiada_pasion.html</t>
  </si>
  <si>
    <t>el_kanka/desde_lejos.html</t>
  </si>
  <si>
    <t>el_kanka/despues_de_esta_manana.html</t>
  </si>
  <si>
    <t>el_kanka/de_los_errores_se_aprende.html</t>
  </si>
  <si>
    <t>el_kanka/el_anfitrion.html</t>
  </si>
  <si>
    <t>el_kanka/el_dia_de_suerte_de_pierre_nodoyuna.html</t>
  </si>
  <si>
    <t>el_kanka/eres.html</t>
  </si>
  <si>
    <t>el_kanka/espero_que_disfruten_de_mi_sufrimiento.html</t>
  </si>
  <si>
    <t>el_kanka/guapas_y_guapos.html</t>
  </si>
  <si>
    <t>el_kanka/instrucciones_para_bailar_un_vals.html</t>
  </si>
  <si>
    <t>el_kanka/la_senda.html</t>
  </si>
  <si>
    <t>el_kanka/llamame_fino.html</t>
  </si>
  <si>
    <t>el_kanka/lo_mal_que_estoy_y_lo_poco_que_me_quejo.html</t>
  </si>
  <si>
    <t>el_kanka/me_alegra_la_vista.html</t>
  </si>
  <si>
    <t>el_kanka/me_gusta.html</t>
  </si>
  <si>
    <t>el_kanka/nana_para_noam.html</t>
  </si>
  <si>
    <t>el_kanka/noche.html</t>
  </si>
  <si>
    <t>el_kanka/no_jodan_la_marrana.html</t>
  </si>
  <si>
    <t>el_kanka/no_se_dice_suerte.html</t>
  </si>
  <si>
    <t>el_kanka/no_te_veo_gozar.html</t>
  </si>
  <si>
    <t>el_kanka/o_algo.html</t>
  </si>
  <si>
    <t>el_kanka/pagafantas.html</t>
  </si>
  <si>
    <t>el_kanka/para_eso_canto.html</t>
  </si>
  <si>
    <t>el_kanka/para_quedarte.html</t>
  </si>
  <si>
    <t>el_kanka/para_vivir.html</t>
  </si>
  <si>
    <t>el_kanka/payaso.html</t>
  </si>
  <si>
    <t>el_kanka/por_matar_un_gato.html</t>
  </si>
  <si>
    <t>el_kanka/por_tu_olor.html</t>
  </si>
  <si>
    <t>el_kanka/prefiero_amar_luis_eduardo_aute.html</t>
  </si>
  <si>
    <t>el_kanka/propositos_de_ano_nuevo.html</t>
  </si>
  <si>
    <t>el_kanka/pudo_pasar.html</t>
  </si>
  <si>
    <t>el_kanka/querria.html</t>
  </si>
  <si>
    <t>el_kanka/que_bello_es_vivir.html</t>
  </si>
  <si>
    <t>el_kanka/quien_me_mandaba_a_mi.html</t>
  </si>
  <si>
    <t>el_kanka/refunk.html</t>
  </si>
  <si>
    <t>el_kanka/rin_rin.html</t>
  </si>
  <si>
    <t>el_kanka/senales_de_humo.html</t>
  </si>
  <si>
    <t>el_kanka/si_que_puedes.html</t>
  </si>
  <si>
    <t>el_kanka/tarde.html</t>
  </si>
  <si>
    <t>el_kanka/tienes_que_saltar.html</t>
  </si>
  <si>
    <t>el_kanka/triste_trofeo.html</t>
  </si>
  <si>
    <t>el_kanka/tu_opinion.html</t>
  </si>
  <si>
    <t>el_kanka/una_cancion_que_destrozar.html</t>
  </si>
  <si>
    <t>el_kanka/vengas_cuando_vengas.html</t>
  </si>
  <si>
    <t>el_kanka/vente.html</t>
  </si>
  <si>
    <t>el_kanka/vente_a_vivir_conmigo.html</t>
  </si>
  <si>
    <t>el_kanka/volar.html</t>
  </si>
  <si>
    <t>el_kanka/youtuber.html</t>
  </si>
  <si>
    <t>joaquin_sabina/1968.html</t>
  </si>
  <si>
    <t>joaquin_sabina/19_dias_y_500_noches.html</t>
  </si>
  <si>
    <t>joaquin_sabina/40_orsett_terrace.html</t>
  </si>
  <si>
    <t>joaquin_sabina/69_punto_g.html</t>
  </si>
  <si>
    <t>joaquin_sabina/acuerdate_de_mi_joan_manuel_serrat.html</t>
  </si>
  <si>
    <t>joaquin_sabina/agua_pasada.html</t>
  </si>
  <si>
    <t>joaquin_sabina/ahora_que.html</t>
  </si>
  <si>
    <t>joaquin_sabina/al_ladron_al_ladron.html</t>
  </si>
  <si>
    <t>joaquin_sabina/amores_eternos.html</t>
  </si>
  <si>
    <t>joaquin_sabina/amor_se_llama_el_juego.html</t>
  </si>
  <si>
    <t>joaquin_sabina/arenas_movedizas.html</t>
  </si>
  <si>
    <t>joaquin_sabina/asi_estoy_yo_sin_ti.html</t>
  </si>
  <si>
    <t>joaquin_sabina/aves_de_paso.html</t>
  </si>
  <si>
    <t>joaquin_sabina/ay_carmela.html</t>
  </si>
  <si>
    <t>joaquin_sabina/ay_rocio.html</t>
  </si>
  <si>
    <t>joaquin_sabina/a_la_orilla_de_la_chimenea.html</t>
  </si>
  <si>
    <t>joaquin_sabina/a_mis_cuarenta_y_diez.html</t>
  </si>
  <si>
    <t>joaquin_sabina/a_ti_que_te_lo_haces.html</t>
  </si>
  <si>
    <t>joaquin_sabina/balada_de_tolito.html</t>
  </si>
  <si>
    <t>joaquin_sabina/barbi_superstar.html</t>
  </si>
  <si>
    <t>joaquin_sabina/besos_con_sal.html</t>
  </si>
  <si>
    <t>joaquin_sabina/besos_de_judas.html</t>
  </si>
  <si>
    <t>joaquin_sabina/besos_en_la_frente.html</t>
  </si>
  <si>
    <t>joaquin_sabina/blues_del_alambique.html</t>
  </si>
  <si>
    <t>joaquin_sabina/bruja.html</t>
  </si>
  <si>
    <t>joaquin_sabina/buenos_aires.html</t>
  </si>
  <si>
    <t>joaquin_sabina/caballo_de_carton.html</t>
  </si>
  <si>
    <t>joaquin_sabina/calle_melancolia.html</t>
  </si>
  <si>
    <t>joaquin_sabina/camas_vacias.html</t>
  </si>
  <si>
    <t>joaquin_sabina/cancion_de_navidad.html</t>
  </si>
  <si>
    <t>joaquin_sabina/cancion_de_primavera.html</t>
  </si>
  <si>
    <t>joaquin_sabina/cancion_para_las_manos_de_un_soldado.html</t>
  </si>
  <si>
    <t>joaquin_sabina/carguen_apunten_fuego.html</t>
  </si>
  <si>
    <t>joaquin_sabina/cerrado_por_derribo.html</t>
  </si>
  <si>
    <t>joaquin_sabina/churumbelas.html</t>
  </si>
  <si>
    <t>joaquin_sabina/circulos_viciosos.html</t>
  </si>
  <si>
    <t>joaquin_sabina/ciudadano_cero.html</t>
  </si>
  <si>
    <t>joaquin_sabina/como_un_dolor_de_muelas.html</t>
  </si>
  <si>
    <t>joaquin_sabina/como_un_explorador.html</t>
  </si>
  <si>
    <t>joaquin_sabina/conductores_suicidas.html</t>
  </si>
  <si>
    <t>joaquin_sabina/contigo.html</t>
  </si>
  <si>
    <t>joaquin_sabina/contrabando.html</t>
  </si>
  <si>
    <t>joaquin_sabina/contra_todo_pronostico.html</t>
  </si>
  <si>
    <t>joaquin_sabina/con_la_frente_marchita.html</t>
  </si>
  <si>
    <t>joaquin_sabina/con_lo_que_eso_duele.html</t>
  </si>
  <si>
    <t>joaquin_sabina/con_un_par.html</t>
  </si>
  <si>
    <t>joaquin_sabina/corre_dijo_la_tortuga.html</t>
  </si>
  <si>
    <t>joaquin_sabina/crisis.html</t>
  </si>
  <si>
    <t>joaquin_sabina/cristales_de_bohemia.html</t>
  </si>
  <si>
    <t>joaquin_sabina/cuando_aprieta_el_frio.html</t>
  </si>
  <si>
    <t>joaquin_sabina/cuando_era_mas_joven.html</t>
  </si>
  <si>
    <t>joaquin_sabina/cuando_me_hablan_del_destino.html</t>
  </si>
  <si>
    <t>joaquin_sabina/cuenta_conmigo.html</t>
  </si>
  <si>
    <t>joaquin_sabina/cuernos.html</t>
  </si>
  <si>
    <t>joaquin_sabina/despues_de_los_despueses.html</t>
  </si>
  <si>
    <t>joaquin_sabina/de_purisima_y_oro.html</t>
  </si>
  <si>
    <t>joaquin_sabina/dieguitos_y_mafaldas.html</t>
  </si>
  <si>
    <t>joaquin_sabina/donde_habita_el_olvido.html</t>
  </si>
  <si>
    <t>joaquin_sabina/dos_horas_despues.html</t>
  </si>
  <si>
    <t>joaquin_sabina/eclipse_de_mar.html</t>
  </si>
  <si>
    <t>joaquin_sabina/eh_sabina.html</t>
  </si>
  <si>
    <t>joaquin_sabina/el_blues_de_lo_que_pasa_en_mi_escalera.html</t>
  </si>
  <si>
    <t>joaquin_sabina/el_cafe_de_nicanor.html</t>
  </si>
  <si>
    <t>joaquin_sabina/el_capitan_de_su_calle.html</t>
  </si>
  <si>
    <t>joaquin_sabina/el_caso_de_la_rubia_platino.html</t>
  </si>
  <si>
    <t>joaquin_sabina/el_joven_aprendiz_de_pintor.html</t>
  </si>
  <si>
    <t>joaquin_sabina/el_muro_de_berlin.html</t>
  </si>
  <si>
    <t>joaquin_sabina/el_rocanrol_de_los_idiotas.html</t>
  </si>
  <si>
    <t>joaquin_sabina/embustera.html</t>
  </si>
  <si>
    <t>joaquin_sabina/esta_boca_es_mia.html</t>
  </si>
  <si>
    <t>joaquin_sabina/esta_noche_contigo.html</t>
  </si>
  <si>
    <t>joaquin_sabina/es_mentira.html</t>
  </si>
  <si>
    <t>joaquin_sabina/eva_tomando_el_sol.html</t>
  </si>
  <si>
    <t>joaquin_sabina/flores_en_su_entierro.html</t>
  </si>
  <si>
    <t>joaquin_sabina/ganas_de.html</t>
  </si>
  <si>
    <t>joaquin_sabina/guerra_mundial.html</t>
  </si>
  <si>
    <t>joaquin_sabina/guisqui_sin_soda.html</t>
  </si>
  <si>
    <t>joaquin_sabina/gulliver.html</t>
  </si>
  <si>
    <t>joaquin_sabina/hotel_dulce_hotel.html</t>
  </si>
  <si>
    <t>joaquin_sabina/hoy_por_ti_manana_por_mi.html</t>
  </si>
  <si>
    <t>joaquin_sabina/incluso_en_estos_tiempos.html</t>
  </si>
  <si>
    <t>joaquin_sabina/incompatibilidad_de_caracteres.html</t>
  </si>
  <si>
    <t>joaquin_sabina/inventario.html</t>
  </si>
  <si>
    <t>joaquin_sabina/juegos_de_azar.html</t>
  </si>
  <si>
    <t>joaquin_sabina/jugar_por_jugar.html</t>
  </si>
  <si>
    <t>joaquin_sabina/lagrimas_de_marmol.html</t>
  </si>
  <si>
    <t>joaquin_sabina/lagrimas_de_plastico_azul.html</t>
  </si>
  <si>
    <t>joaquin_sabina/las_noches_de_domingo_acaban_mal.html</t>
  </si>
  <si>
    <t>joaquin_sabina/lazaro.html</t>
  </si>
  <si>
    <t>joaquin_sabina/la_biblia_y_el_calefon.html</t>
  </si>
  <si>
    <t>joaquin_sabina/la_cancion_de_las_noches_perdidas.html</t>
  </si>
  <si>
    <t>joaquin_sabina/la_cancion_de_los_buenos_borrachos.html</t>
  </si>
  <si>
    <t>joaquin_sabina/la_cancion_mas_hermosa_del_mundo.html</t>
  </si>
  <si>
    <t>joaquin_sabina/la_casa_por_la_ventana.html</t>
  </si>
  <si>
    <t>joaquin_sabina/la_del_pirata_cojo.html</t>
  </si>
  <si>
    <t>joaquin_sabina/la_orquesta_del_titanic.html</t>
  </si>
  <si>
    <t>joaquin_sabina/la_vida_moderna.html</t>
  </si>
  <si>
    <t>joaquin_sabina/leningrado.html</t>
  </si>
  <si>
    <t>joaquin_sabina/locos_de_atar.html</t>
  </si>
  <si>
    <t>joaquin_sabina/los_cuentos_que_yo_cuento.html</t>
  </si>
  <si>
    <t>joaquin_sabina/los_perros_del_amanecer.html</t>
  </si>
  <si>
    <t>joaquin_sabina/lo_niego_todo.html</t>
  </si>
  <si>
    <t>joaquin_sabina/maldito_blues.html</t>
  </si>
  <si>
    <t>joaquin_sabina/manual_para_heroes_o_canallas.html</t>
  </si>
  <si>
    <t>joaquin_sabina/mas_de_cien_mentiras.html</t>
  </si>
  <si>
    <t>joaquin_sabina/mater_espana.html</t>
  </si>
  <si>
    <t>joaquin_sabina/medias_negras.html</t>
  </si>
  <si>
    <t>joaquin_sabina/menos_dos_alas.html</t>
  </si>
  <si>
    <t>joaquin_sabina/mentiras_piadosas.html</t>
  </si>
  <si>
    <t>joaquin_sabina/me_pido_primer.html</t>
  </si>
  <si>
    <t>joaquin_sabina/mi_amigo_satan.html</t>
  </si>
  <si>
    <t>joaquin_sabina/mi_primo_el_nano.html</t>
  </si>
  <si>
    <t>joaquin_sabina/mi_vecino_de_arriba.html</t>
  </si>
  <si>
    <t>joaquin_sabina/monica.html</t>
  </si>
  <si>
    <t>joaquin_sabina/mujeres_fatal.html</t>
  </si>
  <si>
    <t>joaquin_sabina/nacidos_para_perder.html</t>
  </si>
  <si>
    <t>joaquin_sabina/negra_noche.html</t>
  </si>
  <si>
    <t>joaquin_sabina/noches_de_boda.html</t>
  </si>
  <si>
    <t>joaquin_sabina/nombres_impropios.html</t>
  </si>
  <si>
    <t>joaquin_sabina/nos_sobran_los_motivos.html</t>
  </si>
  <si>
    <t>joaquin_sabina/no_me_importa_nada_luz_casal.html</t>
  </si>
  <si>
    <t>joaquin_sabina/no_permita_la_virgen.html</t>
  </si>
  <si>
    <t>joaquin_sabina/no_tan_deprisa.html</t>
  </si>
  <si>
    <t>joaquin_sabina/nube_negra.html</t>
  </si>
  <si>
    <t>joaquin_sabina/numeros_rojos.html</t>
  </si>
  <si>
    <t>joaquin_sabina/ocupen_su_localidad.html</t>
  </si>
  <si>
    <t>joaquin_sabina/oiga_doctor.html</t>
  </si>
  <si>
    <t>joaquin_sabina/pacto_entre_caballeros.html</t>
  </si>
  <si>
    <t>joaquin_sabina/paisanaje.html</t>
  </si>
  <si>
    <t>joaquin_sabina/pajaros_de_portugal.html</t>
  </si>
  <si>
    <t>joaquin_sabina/palabras_como_cuerpos.html</t>
  </si>
  <si>
    <t>joaquin_sabina/parte_meteorologico.html</t>
  </si>
  <si>
    <t>joaquin_sabina/pastillas_para_no_sonar.html</t>
  </si>
  <si>
    <t>joaquin_sabina/peces_de_ciudad.html</t>
  </si>
  <si>
    <t>joaquin_sabina/peligro_de_incendio.html</t>
  </si>
  <si>
    <t>joaquin_sabina/peor_para_el_sol.html</t>
  </si>
  <si>
    <t>joaquin_sabina/pero_que_hermosas_eran.html</t>
  </si>
  <si>
    <t>joaquin_sabina/pie_de_guerra.html</t>
  </si>
  <si>
    <t>joaquin_sabina/pisa_el_acelerador.html</t>
  </si>
  <si>
    <t>joaquin_sabina/pobre_cristina.html</t>
  </si>
  <si>
    <t>joaquin_sabina/pongamos_que_hablo_de_madrid.html</t>
  </si>
  <si>
    <t>joaquin_sabina/por_delicadeza.html</t>
  </si>
  <si>
    <t>joaquin_sabina/por_el_bulevar_de_los_suenos_rotos.html</t>
  </si>
  <si>
    <t>joaquin_sabina/por_el_tunel.html</t>
  </si>
  <si>
    <t>joaquin_sabina/postal_de_la_habana.html</t>
  </si>
  <si>
    <t>joaquin_sabina/postdata.html</t>
  </si>
  <si>
    <t>joaquin_sabina/princesa.html</t>
  </si>
  <si>
    <t>joaquin_sabina/quedate_a_dormir.html</t>
  </si>
  <si>
    <t>joaquin_sabina/que_demasiao.html</t>
  </si>
  <si>
    <t>joaquin_sabina/que_estoy_haciendo_aqui.html</t>
  </si>
  <si>
    <t>joaquin_sabina/que_se_llama_soledad.html</t>
  </si>
  <si>
    <t>joaquin_sabina/quien_mas_quien_menos.html</t>
  </si>
  <si>
    <t>joaquin_sabina/quien_me_ha_robado_el_mes_de_abril.html</t>
  </si>
  <si>
    <t>joaquin_sabina/rebajas_de_enero.html</t>
  </si>
  <si>
    <t>joaquin_sabina/resumiendo.html</t>
  </si>
  <si>
    <t>joaquin_sabina/ring_ring_ring.html</t>
  </si>
  <si>
    <t>joaquin_sabina/ruido.html</t>
  </si>
  <si>
    <t>joaquin_sabina/seis_de_la_manana.html</t>
  </si>
  <si>
    <t>joaquin_sabina/seis_tequilas.html</t>
  </si>
  <si>
    <t>joaquin_sabina/siete_crisantemos.html</t>
  </si>
  <si>
    <t>joaquin_sabina/sintiendolo_mucho.html</t>
  </si>
  <si>
    <t>joaquin_sabina/sin_pena_ni_gloria.html</t>
  </si>
  <si>
    <t>joaquin_sabina/tango_del_quinielista.html</t>
  </si>
  <si>
    <t>joaquin_sabina/tan_joven_y_tan_viejo.html</t>
  </si>
  <si>
    <t>joaquin_sabina/tiramisu_de_limon.html</t>
  </si>
  <si>
    <t>joaquin_sabina/todavia_una_cancion_de_amor.html</t>
  </si>
  <si>
    <t>joaquin_sabina/todos_menos_tu.html</t>
  </si>
  <si>
    <t>joaquin_sabina/una_cancion_para_la_magdalena.html</t>
  </si>
  <si>
    <t>joaquin_sabina/una_de_romanos.html</t>
  </si>
  <si>
    <t>joaquin_sabina/vamonos_pal_sur.html</t>
  </si>
  <si>
    <t>joaquin_sabina/vinagre_y_rosas.html</t>
  </si>
  <si>
    <t>joaquin_sabina/violetas_para_violeta.html</t>
  </si>
  <si>
    <t>joaquin_sabina/virgen_de_la_amargura.html</t>
  </si>
  <si>
    <t>joaquin_sabina/viridiana.html</t>
  </si>
  <si>
    <t>joaquin_sabina/viudita_de_clicquot.html</t>
  </si>
  <si>
    <t>joaquin_sabina/yo_me_bajo_en_atocha.html</t>
  </si>
  <si>
    <t>joaquin_sabina/yo_quiero_ser_una_chica_almodovar.html</t>
  </si>
  <si>
    <t>joaquin_sabina/yo_tambien_se_jugarme_la_boca.html</t>
  </si>
  <si>
    <t>joaquin_sabina/y_nos_dieron_las_diez.html</t>
  </si>
  <si>
    <t>joaquin_sabina/y_sin_embargo.html</t>
  </si>
  <si>
    <t>joaquin_sabina/y_sin_embargo_intro.html</t>
  </si>
  <si>
    <t>joaquin_sabina/y_si_amanece_por_fin.html</t>
  </si>
  <si>
    <t>leiva/92.html</t>
  </si>
  <si>
    <t>leiva/afuera_en_la_ciudad.html</t>
  </si>
  <si>
    <t>leiva/anticiclon_ivan_ferreiro.html</t>
  </si>
  <si>
    <t>leiva/aunque_sea_un_rato.html</t>
  </si>
  <si>
    <t>leiva/a_medio_centimetro.html</t>
  </si>
  <si>
    <t>leiva/a_ti_te_ocurre_algo.html</t>
  </si>
  <si>
    <t>leiva/blancos_faciles.html</t>
  </si>
  <si>
    <t>leiva/breaking_bad.html</t>
  </si>
  <si>
    <t>leiva/cerca.html</t>
  </si>
  <si>
    <t>leiva/ciencia_ficcion.html</t>
  </si>
  <si>
    <t>leiva/como_si_fueras_a_morir_manana.html</t>
  </si>
  <si>
    <t>leiva/con_el_panuelo_en_los_ojos.html</t>
  </si>
  <si>
    <t>leiva/costa_de_oaxaca.html</t>
  </si>
  <si>
    <t>leiva/cuando_te_muerdes_el_labio.html</t>
  </si>
  <si>
    <t>leiva/dejandose_caer.html</t>
  </si>
  <si>
    <t>leiva/del_hueso_una_flor.html</t>
  </si>
  <si>
    <t>leiva/diazepam.html</t>
  </si>
  <si>
    <t>leiva/electricidad.html</t>
  </si>
  <si>
    <t>leiva/el_gigante_de_big_fish.html</t>
  </si>
  <si>
    <t>leiva/el_ultimo_incendio.html</t>
  </si>
  <si>
    <t>leiva/eme.html</t>
  </si>
  <si>
    <t>leiva/en_el_espacio.html</t>
  </si>
  <si>
    <t>leiva/expertos.html</t>
  </si>
  <si>
    <t>leiva/extasis.html</t>
  </si>
  <si>
    <t>leiva/flecha.html</t>
  </si>
  <si>
    <t>leiva/francesita.html</t>
  </si>
  <si>
    <t>leiva/godzilla.html</t>
  </si>
  <si>
    <t>leiva/guerra_mundial.html</t>
  </si>
  <si>
    <t>leiva/hermosa_taquicardia.html</t>
  </si>
  <si>
    <t>leiva/histericos.html</t>
  </si>
  <si>
    <t>leiva/hoy_no_me_encuentro.html</t>
  </si>
  <si>
    <t>leiva/hoy_tus_ojos.html</t>
  </si>
  <si>
    <t>leiva/iceberg.html</t>
  </si>
  <si>
    <t>leiva/inertes.html</t>
  </si>
  <si>
    <t>leiva/infinitos.html</t>
  </si>
  <si>
    <t>leiva/las_cuentas.html</t>
  </si>
  <si>
    <t>leiva/la_llamada.html</t>
  </si>
  <si>
    <t>leiva/la_lluvia_en_los_zapatos.html</t>
  </si>
  <si>
    <t>leiva/llegara.html</t>
  </si>
  <si>
    <t>leiva/lobos.html</t>
  </si>
  <si>
    <t>leiva/los_cantantes.html</t>
  </si>
  <si>
    <t>leiva/maniobras_suicidas.html</t>
  </si>
  <si>
    <t>leiva/medicina.html</t>
  </si>
  <si>
    <t>leiva/miedo.html</t>
  </si>
  <si>
    <t>leiva/mirada_perdida.html</t>
  </si>
  <si>
    <t>leiva/mi_mejor_version.html</t>
  </si>
  <si>
    <t>leiva/mi_pequeno_chernobil.html</t>
  </si>
  <si>
    <t>leiva/monstruos.html</t>
  </si>
  <si>
    <t>leiva/no_soy_para_ti.html</t>
  </si>
  <si>
    <t>leiva/no_te_preocupes_por_mi.html</t>
  </si>
  <si>
    <t>leiva/nuclear.html</t>
  </si>
  <si>
    <t>leiva/nunca_nadie.html</t>
  </si>
  <si>
    <t>leiva/palermo_no_es_hollywood.html</t>
  </si>
  <si>
    <t>leiva/palomas.html</t>
  </si>
  <si>
    <t>leiva/partido_a_partido.html</t>
  </si>
  <si>
    <t>leiva/peligrosamente_dark.html</t>
  </si>
  <si>
    <t>leiva/penaltis.html</t>
  </si>
  <si>
    <t>leiva/polvora.html</t>
  </si>
  <si>
    <t>leiva/premio_de_consolacion.html</t>
  </si>
  <si>
    <t>leiva/san_sebastian_madrid.html</t>
  </si>
  <si>
    <t>leiva/sincericidio.html</t>
  </si>
  <si>
    <t>leiva/sixteen.html</t>
  </si>
  <si>
    <t>leiva/solaris.html</t>
  </si>
  <si>
    <t>leiva/stranger_things.html</t>
  </si>
  <si>
    <t>leiva/sudando_la_tristeza.html</t>
  </si>
  <si>
    <t>leiva/superpoderes.html</t>
  </si>
  <si>
    <t>leiva/telediario.html</t>
  </si>
  <si>
    <t>leiva/terriblemente_cruel.html</t>
  </si>
  <si>
    <t>leiva/te_comeria_a_versos.html</t>
  </si>
  <si>
    <t>leiva/todo_lo_que_tu_quieras.html</t>
  </si>
  <si>
    <t>leiva/tu_respiracion.html</t>
  </si>
  <si>
    <t>leiva/vertigo.html</t>
  </si>
  <si>
    <t>leiva/vis_a_vis.html</t>
  </si>
  <si>
    <t>lovg/20_de_enero.html</t>
  </si>
  <si>
    <t>lovg/abrazame.html</t>
  </si>
  <si>
    <t>lovg/acantilado.html</t>
  </si>
  <si>
    <t>lovg/adios.html</t>
  </si>
  <si>
    <t>lovg/amores_dormidos.html</t>
  </si>
  <si>
    <t>lovg/apareces_tu.html</t>
  </si>
  <si>
    <t>lovg/aquella_ingrata.html</t>
  </si>
  <si>
    <t>lovg/a_diez_centimetros_de_ti.html</t>
  </si>
  <si>
    <t>lovg/bonustrack.html</t>
  </si>
  <si>
    <t>lovg/camino_de_tu_corazon.html</t>
  </si>
  <si>
    <t>lovg/cancion_desesperada.html</t>
  </si>
  <si>
    <t>lovg/cometas_por_el_cielo.html</t>
  </si>
  <si>
    <t>lovg/como_un_par_de_girasoles.html</t>
  </si>
  <si>
    <t>lovg/coronel.html</t>
  </si>
  <si>
    <t>lovg/cuando_dices_adios.html</t>
  </si>
  <si>
    <t>lovg/cuando_menos_lo_merezca.html</t>
  </si>
  <si>
    <t>lovg/cuantos_cuentos_cuento.html</t>
  </si>
  <si>
    <t>lovg/cuentame_al_oido.html</t>
  </si>
  <si>
    <t>lovg/cuidate.html</t>
  </si>
  <si>
    <t>lovg/cumplir_un_año_menos.html</t>
  </si>
  <si>
    <t>lovg/dejate_llevar.html</t>
  </si>
  <si>
    <t>lovg/desde_el_puerto.html</t>
  </si>
  <si>
    <t>lovg/deseos_de_cosas_imposibles.html</t>
  </si>
  <si>
    <t>lovg/despacio.html</t>
  </si>
  <si>
    <t>lovg/dia_cero.html</t>
  </si>
  <si>
    <t>lovg/dicen_que_dicen.html</t>
  </si>
  <si>
    <t>lovg/diciembre.html</t>
  </si>
  <si>
    <t>lovg/dile_al_sol.html</t>
  </si>
  <si>
    <t>lovg/doblar_y_comprender.html</t>
  </si>
  <si>
    <t>lovg/dos_copos_de_nieve.html</t>
  </si>
  <si>
    <t>lovg/dos_cristales.html</t>
  </si>
  <si>
    <t>lovg/dulce_locura.html</t>
  </si>
  <si>
    <t>lovg/durante_una_mirada.html</t>
  </si>
  <si>
    <t>lovg/el_28.html</t>
  </si>
  <si>
    <t>lovg/el_libro.html</t>
  </si>
  <si>
    <t>lovg/el_primer_dia_del_resto_de_mi_vida.html</t>
  </si>
  <si>
    <t>lovg/el_tiempo.html</t>
  </si>
  <si>
    <t>lovg/el_tiempo_a_solas.html</t>
  </si>
  <si>
    <t>lovg/el_ultimo_vals.html</t>
  </si>
  <si>
    <t>lovg/en_mi_lado_del_sofa.html</t>
  </si>
  <si>
    <t>lovg/esa_chica.html</t>
  </si>
  <si>
    <t>lovg/escapar.html</t>
  </si>
  <si>
    <t>lovg/esta_vez_no_digas_nada.html</t>
  </si>
  <si>
    <t>lovg/estoy_contigo.html</t>
  </si>
  <si>
    <t>lovg/europa_vii.html</t>
  </si>
  <si>
    <t>lovg/flash.html</t>
  </si>
  <si>
    <t>lovg/flores_en_la_orilla.html</t>
  </si>
  <si>
    <t>lovg/galerna.html</t>
  </si>
  <si>
    <t>lovg/geografia.html</t>
  </si>
  <si>
    <t>lovg/historia_de_un_sueño.html</t>
  </si>
  <si>
    <t>lovg/inmortal.html</t>
  </si>
  <si>
    <t>lovg/intocables.html</t>
  </si>
  <si>
    <t>lovg/irreversible.html</t>
  </si>
  <si>
    <t>lovg/jueves.html</t>
  </si>
  <si>
    <t>lovg/las_noches_que_no_mueren.html</t>
  </si>
  <si>
    <t>lovg/la_carta.html</t>
  </si>
  <si>
    <t>lovg/la_chica_del_espejo.html</t>
  </si>
  <si>
    <t>lovg/la_chica_del_gorro_azul.html</t>
  </si>
  <si>
    <t>lovg/la_esperanza_debida.html</t>
  </si>
  <si>
    <t>lovg/la_luz_que_nace_en_ti.html</t>
  </si>
  <si>
    <t>lovg/la_niña_que_llora_en_tus_fiestas.html</t>
  </si>
  <si>
    <t>lovg/la_paz_de_tus_ojos.html</t>
  </si>
  <si>
    <t>lovg/la_playa.html</t>
  </si>
  <si>
    <t>lovg/la_primera_version.html</t>
  </si>
  <si>
    <t>lovg/la_visita.html</t>
  </si>
  <si>
    <t>lovg/los_amantes_del_circulo_polar.html</t>
  </si>
  <si>
    <t>lovg/lo_ves.html</t>
  </si>
  <si>
    <t>lovg/manhattan.html</t>
  </si>
  <si>
    <t>lovg/maria.html</t>
  </si>
  <si>
    <t>lovg/mariposa.html</t>
  </si>
  <si>
    <t>lovg/mas.html</t>
  </si>
  <si>
    <t>lovg/menos_tu.html</t>
  </si>
  <si>
    <t>lovg/me_falta_el_aire.html</t>
  </si>
  <si>
    <t>lovg/me_voy_de_fiesta.html</t>
  </si>
  <si>
    <t>lovg/mientras_quede_por_decir_una_palabra.html</t>
  </si>
  <si>
    <t>lovg/mi_calle_es_nueva_york.html</t>
  </si>
  <si>
    <t>lovg/mi_pequeño_gran_valiente.html</t>
  </si>
  <si>
    <t>lovg/mi_vida_sin_ti.html</t>
  </si>
  <si>
    <t>lovg/muñeca_de_trapo.html</t>
  </si>
  <si>
    <t>lovg/nadie_como_tu.html</t>
  </si>
  <si>
    <t>lovg/noche.html</t>
  </si>
  <si>
    <t>lovg/no_vales_mas_que_yo.html</t>
  </si>
  <si>
    <t>lovg/nube.html</t>
  </si>
  <si>
    <t>lovg/nuestro_mundo.html</t>
  </si>
  <si>
    <t>lovg/otra_vez_me_has_sacado_a_bailar.html</t>
  </si>
  <si>
    <t>lovg/palabras_para_paula.html</t>
  </si>
  <si>
    <t>lovg/palida_luna.html</t>
  </si>
  <si>
    <t>lovg/paloma_blanca.html</t>
  </si>
  <si>
    <t>lovg/paris.html</t>
  </si>
  <si>
    <t>lovg/perdida.html</t>
  </si>
  <si>
    <t>lovg/perdoname.html</t>
  </si>
  <si>
    <t>lovg/pesadilla.html</t>
  </si>
  <si>
    <t>lovg/pop.html</t>
  </si>
  <si>
    <t>lovg/promesas_de_primavera.html</t>
  </si>
  <si>
    <t>lovg/puedes_contar_conmigo.html</t>
  </si>
  <si>
    <t>lovg/que_puedo_pedir.html</t>
  </si>
  <si>
    <t>lovg/rosas.html</t>
  </si>
  <si>
    <t>lovg/siempre.html</t>
  </si>
  <si>
    <t>lovg/sirenas.html</t>
  </si>
  <si>
    <t>lovg/sola.html</t>
  </si>
  <si>
    <t>lovg/soledad.html</t>
  </si>
  <si>
    <t>lovg/soñare.html</t>
  </si>
  <si>
    <t>lovg/tantas_cosas_que_contar.html</t>
  </si>
  <si>
    <t>lovg/tan_guapa.html</t>
  </si>
  <si>
    <t>lovg/te_pareces_tanto_a_mi.html</t>
  </si>
  <si>
    <t>lovg/tic_tac.html</t>
  </si>
  <si>
    <t>lovg/tu_pelo.html</t>
  </si>
  <si>
    <t>lovg/tu_y_yo.html</t>
  </si>
  <si>
    <t>lovg/una_y_otra_vez.html</t>
  </si>
  <si>
    <t>lovg/un_cuento_sobre_el_agua.html</t>
  </si>
  <si>
    <t>lovg/un_minuto_mas.html</t>
  </si>
  <si>
    <t>lovg/un_mundo_mejor.html</t>
  </si>
  <si>
    <t>lovg/verano.html</t>
  </si>
  <si>
    <t>lovg/vestido_azul.html</t>
  </si>
  <si>
    <t>lovg/viejo_cuento.html</t>
  </si>
  <si>
    <t>lovg/vuelve.html</t>
  </si>
  <si>
    <t>lovg/v_o_s.html</t>
  </si>
  <si>
    <t>marea/aceitunero.html</t>
  </si>
  <si>
    <t>marea/alfileres.html</t>
  </si>
  <si>
    <t>marea/al_culo_de_una_lombriz.html</t>
  </si>
  <si>
    <t>marea/amor_temporero.html</t>
  </si>
  <si>
    <t>marea/angeles_del_suelo.html</t>
  </si>
  <si>
    <t>marea/barniz.html</t>
  </si>
  <si>
    <t>marea/bienvenido_al_secadero.html</t>
  </si>
  <si>
    <t>marea/buena_muerte.html</t>
  </si>
  <si>
    <t>marea/canaleros.html</t>
  </si>
  <si>
    <t>marea/canto_de_tierra_seca.html</t>
  </si>
  <si>
    <t>marea/ceniciento.html</t>
  </si>
  <si>
    <t>marea/cespellejo.html</t>
  </si>
  <si>
    <t>marea/ciudad_de_los_gitanos.html</t>
  </si>
  <si>
    <t>marea/como_el_viento_de_poniente.html</t>
  </si>
  <si>
    <t>marea/como_los_trileros.html</t>
  </si>
  <si>
    <t>marea/como_quiere_tu_abuelita.html</t>
  </si>
  <si>
    <t>marea/con_la_camisa_rota.html</t>
  </si>
  <si>
    <t>marea/copla_del_precipicio.html</t>
  </si>
  <si>
    <t>marea/corazon_de_mimbre.html</t>
  </si>
  <si>
    <t>marea/cos_alpargatas.html</t>
  </si>
  <si>
    <t>marea/cuerme_conmigo.html</t>
  </si>
  <si>
    <t>marea/el_dia_que_lluevan_pianos.html</t>
  </si>
  <si>
    <t>marea/el_hijo_de_la_ines.html</t>
  </si>
  <si>
    <t>marea/el_mas_sucio_de_los_nombres.html</t>
  </si>
  <si>
    <t>marea/el_perro_verde.html</t>
  </si>
  <si>
    <t>marea/el_rastro.html</t>
  </si>
  <si>
    <t>marea/el_temblor.html</t>
  </si>
  <si>
    <t>marea/el_trapecio.html</t>
  </si>
  <si>
    <t>marea/entre_hormigones.html</t>
  </si>
  <si>
    <t>marea/en_las_encias.html</t>
  </si>
  <si>
    <t>marea/en_tu_agujero.html</t>
  </si>
  <si>
    <t>marea/esta_puta_soledad.html</t>
  </si>
  <si>
    <t>marea/g_caballo.html</t>
  </si>
  <si>
    <t>marea/g_la_mierda_primavera.html</t>
  </si>
  <si>
    <t>marea/incandescente.html</t>
  </si>
  <si>
    <t>marea/jindama.html</t>
  </si>
  <si>
    <t>marea/las_ultimas_habitaciones.html</t>
  </si>
  <si>
    <t>marea/latido_jondo.html</t>
  </si>
  <si>
    <t>marea/la_grillera.html</t>
  </si>
  <si>
    <t>marea/la_hora_de_las_moscas.html</t>
  </si>
  <si>
    <t>marea/la_luna_me_sabe_a_poco.html</t>
  </si>
  <si>
    <t>marea/la_majada.html</t>
  </si>
  <si>
    <t>marea/la_noche_de_viernes_santo.html</t>
  </si>
  <si>
    <t>marea/la_rueca.html</t>
  </si>
  <si>
    <t>marea/lija_y_terciopelo.html</t>
  </si>
  <si>
    <t>marea/los_mismos_clavos.html</t>
  </si>
  <si>
    <t>marea/lo_habido.html</t>
  </si>
  <si>
    <t>marea/manuela_canta_saetas.html</t>
  </si>
  <si>
    <t>marea/marea.html</t>
  </si>
  <si>
    <t>marea/mas_me_duele_a_mi.html</t>
  </si>
  <si>
    <t>marea/me_corten_la_lengua.html</t>
  </si>
  <si>
    <t>marea/me_estoy_quedando_solo.html</t>
  </si>
  <si>
    <t>marea/mierda_y_cuchara.html</t>
  </si>
  <si>
    <t>marea/mil_quilates.html</t>
  </si>
  <si>
    <t>marea/mojama.html</t>
  </si>
  <si>
    <t>marea/muchas_lanzas.html</t>
  </si>
  <si>
    <t>marea/nana_del_quebranto.html</t>
  </si>
  <si>
    <t>marea/no_quiero_ser_un_poeta.html</t>
  </si>
  <si>
    <t>marea/nuestra_fosa.html</t>
  </si>
  <si>
    <t>marea/ocho_mares.html</t>
  </si>
  <si>
    <t>marea/ojala_me_quieras_libre.html</t>
  </si>
  <si>
    <t>marea/otra_cicatriz.html</t>
  </si>
  <si>
    <t>marea/pajaros_viejos.html</t>
  </si>
  <si>
    <t>marea/pan_duro.html</t>
  </si>
  <si>
    <t>marea/pecadores.html</t>
  </si>
  <si>
    <t>marea/pedimento.html</t>
  </si>
  <si>
    <t>marea/petenera.html</t>
  </si>
  <si>
    <t>marea/plomo_en_los_bolsillos.html</t>
  </si>
  <si>
    <t>marea/por_cuatro_perras.html</t>
  </si>
  <si>
    <t>marea/prima_tristeza.html</t>
  </si>
  <si>
    <t>marea/quejios.html</t>
  </si>
  <si>
    <t>marea/que_se_joda_el_viento.html</t>
  </si>
  <si>
    <t>marea/romance_de_jose_etxailarena.html</t>
  </si>
  <si>
    <t>marea/se_acaba_el_baile.html</t>
  </si>
  <si>
    <t>marea/si_viene_la_pestani.html</t>
  </si>
  <si>
    <t>marea/sobran_bueyes.html</t>
  </si>
  <si>
    <t>marea/te_voy_a_decir_la_verdad.html</t>
  </si>
  <si>
    <t>marea/trasegando.html</t>
  </si>
  <si>
    <t>marea/un_hierro_sin_domar.html</t>
  </si>
  <si>
    <t>marea/venas_con_humo_y_palabras.html</t>
  </si>
  <si>
    <t>marea/virgen_del_fracaso.html</t>
  </si>
  <si>
    <t>marea/ya_lo_dijo_camaron.html</t>
  </si>
  <si>
    <t>otros/alberto_martin_desenfocar_el_mundo.html</t>
  </si>
  <si>
    <t>otros/antonio_vega_el_sitio_de_mi_recreo.html</t>
  </si>
  <si>
    <t>otros/antonio_vega_lucha_de_gigantes.html</t>
  </si>
  <si>
    <t>otros/complices_es_por_ti.html</t>
  </si>
  <si>
    <t>otros/extremoduro_bri_bri_bli_bli.html</t>
  </si>
  <si>
    <t>otros/extremoduro_dulce_introduccion_al_caos.html</t>
  </si>
  <si>
    <t>otros/extremoduro_golfa.html</t>
  </si>
  <si>
    <t>otros/extremoduro_jesucristo_garcia.html</t>
  </si>
  <si>
    <t>otros/extremoduro_la_vereda_de_la_puerta_de_atras.html</t>
  </si>
  <si>
    <t>otros/extremoduro_quemando_tus_recuerdos.html</t>
  </si>
  <si>
    <t>otros/extremoduro_si_te_vas.html</t>
  </si>
  <si>
    <t>otros/extremoduro_so_payaso.html</t>
  </si>
  <si>
    <t>otros/extremoduro_standby.html</t>
  </si>
  <si>
    <t>otros/itoiz_lau_teilatu.html</t>
  </si>
  <si>
    <t>otros/izal_a.html</t>
  </si>
  <si>
    <t>otros/izal_cancion_para_nadie.html</t>
  </si>
  <si>
    <t>otros/izal_conclusion_en_do_para_ukelele.html</t>
  </si>
  <si>
    <t>otros/izal_copacabana.html</t>
  </si>
  <si>
    <t>otros/izal_la_mujer_de_verde.html</t>
  </si>
  <si>
    <t>otros/izal_pausa.html</t>
  </si>
  <si>
    <t>otros/izal_pequena_gran_revolucion.html</t>
  </si>
  <si>
    <t>otros/izal_que_bien.html</t>
  </si>
  <si>
    <t>otros/izal_suenos_lentos_aviones_veloces.html</t>
  </si>
  <si>
    <t>otros/jorge_drexler_a.html</t>
  </si>
  <si>
    <t>otros/luis_ramiro_a.html</t>
  </si>
  <si>
    <t>otros/luis_ramiro_el_monstruo_del_armario.html</t>
  </si>
  <si>
    <t>otros/luis_ramiro_la_sirena.html</t>
  </si>
  <si>
    <t>otros/luis_ramiro_perfecta.html</t>
  </si>
  <si>
    <t>otros/marwan_a.html</t>
  </si>
  <si>
    <t>otros/mocedades_la_otra_espana.html</t>
  </si>
  <si>
    <t>otros/mocedades_tomame_o_dejame.html</t>
  </si>
  <si>
    <t>otros/pablo_milanes_si_ella_me_faltara_alguna_vez.html</t>
  </si>
  <si>
    <t>otros/paco_bello_no_sabes_cuanto_te_he_querido.html</t>
  </si>
  <si>
    <t>otros/quique_gonzalez_charo.html</t>
  </si>
  <si>
    <t>otros/quique_gonzalez_de_haberlo_sabido.html</t>
  </si>
  <si>
    <t>otros/quique_gonzalez_la_fabrica.html</t>
  </si>
  <si>
    <t>otros/quique_gonzalez_salitre.html</t>
  </si>
  <si>
    <t>otros/quique_gonzalez_sangre_en_el_marcador.html</t>
  </si>
  <si>
    <t>otros/quique_gonzalez_y_los_conserjes_de_noche.html</t>
  </si>
  <si>
    <t>otros/vicky_gastelo_aunque_no_sea_yo.html</t>
  </si>
  <si>
    <t>pereza/4_y_26.html</t>
  </si>
  <si>
    <t>pereza/aguardiente.html</t>
  </si>
  <si>
    <t>pereza/algo_para_cantar.html</t>
  </si>
  <si>
    <t>pereza/amelie.html</t>
  </si>
  <si>
    <t>pereza/animales.html</t>
  </si>
  <si>
    <t>pereza/aproximacion.html</t>
  </si>
  <si>
    <t>pereza/astronauta.html</t>
  </si>
  <si>
    <t>pereza/ay.html</t>
  </si>
  <si>
    <t>pereza/backstage.html</t>
  </si>
  <si>
    <t>pereza/beatles.html</t>
  </si>
  <si>
    <t>pereza/bicho.html</t>
  </si>
  <si>
    <t>pereza/caramelo.html</t>
  </si>
  <si>
    <t>pereza/champagne.html</t>
  </si>
  <si>
    <t>pereza/como_lo_tienes_tu.html</t>
  </si>
  <si>
    <t>pereza/como_un_huracan.html</t>
  </si>
  <si>
    <t>pereza/contento_por_nada.html</t>
  </si>
  <si>
    <t>pereza/cuatro_rosas.html</t>
  </si>
  <si>
    <t>pereza/dale_a_la_guitarra.html</t>
  </si>
  <si>
    <t>pereza/dimelo.html</t>
  </si>
  <si>
    <t>pereza/dos_gotas.html</t>
  </si>
  <si>
    <t>pereza/ella_tiene_un_don.html</t>
  </si>
  <si>
    <t>pereza/el_bar_de_la_esquina.html</t>
  </si>
  <si>
    <t>pereza/el_dia_que_no_pueda_mas.html</t>
  </si>
  <si>
    <t>pereza/el_globo.html</t>
  </si>
  <si>
    <t>pereza/en_donde_estes.html</t>
  </si>
  <si>
    <t>pereza/en_una_noche_cualquiera.html</t>
  </si>
  <si>
    <t>pereza/escupe.html</t>
  </si>
  <si>
    <t>pereza/esta_lloviendo.html</t>
  </si>
  <si>
    <t>pereza/estrella_polar.html</t>
  </si>
  <si>
    <t>pereza/fragiles.html</t>
  </si>
  <si>
    <t>pereza/grupis.html</t>
  </si>
  <si>
    <t>pereza/hazmelo.html</t>
  </si>
  <si>
    <t>pereza/horoscopo.html</t>
  </si>
  <si>
    <t>pereza/huracan.html</t>
  </si>
  <si>
    <t>pereza/lady_madrid.html</t>
  </si>
  <si>
    <t>pereza/la_chica_del_tirso.html</t>
  </si>
  <si>
    <t>pereza/la_noria.html</t>
  </si>
  <si>
    <t>pereza/leones.html</t>
  </si>
  <si>
    <t>pereza/llevame_al_baile.html</t>
  </si>
  <si>
    <t>pereza/lo_que_tengo_yo_adentro.html</t>
  </si>
  <si>
    <t>pereza/madrid.html</t>
  </si>
  <si>
    <t>pereza/margot.html</t>
  </si>
  <si>
    <t>pereza/matar_al_cartero.html</t>
  </si>
  <si>
    <t>pereza/musica_ligera.html</t>
  </si>
  <si>
    <t>pereza/nina_de_papa.html</t>
  </si>
  <si>
    <t>pereza/pelos_de_punta.html</t>
  </si>
  <si>
    <t>pereza/perdona_mona.html</t>
  </si>
  <si>
    <t>pereza/pienso_en_aquella_tarde.html</t>
  </si>
  <si>
    <t>pereza/pirata.html</t>
  </si>
  <si>
    <t>pereza/pompa_de_jabon.html</t>
  </si>
  <si>
    <t>pereza/por_mi_tripa.html</t>
  </si>
  <si>
    <t>pereza/princesas.html</t>
  </si>
  <si>
    <t>pereza/que_alegria_mas_tonta.html</t>
  </si>
  <si>
    <t>pereza/que_parezca_un_accidente.html</t>
  </si>
  <si>
    <t>pereza/quiero_hacerlo_esta_noche_contigo.html</t>
  </si>
  <si>
    <t>pereza/senor_kioskero.html</t>
  </si>
  <si>
    <t>pereza/seras_aun_la_misma.html</t>
  </si>
  <si>
    <t>pereza/si_quieres_bailamos.html</t>
  </si>
  <si>
    <t>pereza/superhermanas.html</t>
  </si>
  <si>
    <t>pereza/superjunkies.html</t>
  </si>
  <si>
    <t>pereza/taliban.html</t>
  </si>
  <si>
    <t>pereza/tirando_de_tu_corazon.html</t>
  </si>
  <si>
    <t>pereza/todo.html</t>
  </si>
  <si>
    <t>pereza/todo_saldra_bien.html</t>
  </si>
  <si>
    <t>pereza/tristeza.html</t>
  </si>
  <si>
    <t>pereza/tu_infierno.html</t>
  </si>
  <si>
    <t>pereza/tu_que_tal.html</t>
  </si>
  <si>
    <t>pereza/tv.html</t>
  </si>
  <si>
    <t>pereza/una_china_en_mi_zapato.html</t>
  </si>
  <si>
    <t>pereza/violento_amor.html</t>
  </si>
  <si>
    <t>pereza/voy_a_comerte.html</t>
  </si>
  <si>
    <t>pereza/windsor.html</t>
  </si>
  <si>
    <t>pereza/yeah.html</t>
  </si>
  <si>
    <t>pereza/yo_naci_para_estar_en_un_conjunto.html</t>
  </si>
  <si>
    <t>pereza/yo_solo_quiero.html</t>
  </si>
  <si>
    <t>revolver/21_gramos.html</t>
  </si>
  <si>
    <t>revolver/5_estrellas.html</t>
  </si>
  <si>
    <t>revolver/adictos_a_la_euforia.html</t>
  </si>
  <si>
    <t>revolver/al_infierno_sin_papeles.html</t>
  </si>
  <si>
    <t>revolver/angeles_de_alas_sucias.html</t>
  </si>
  <si>
    <t>revolver/asustando_al_huracan.html</t>
  </si>
  <si>
    <t>revolver/ay_amor.html</t>
  </si>
  <si>
    <t>revolver/azul.html</t>
  </si>
  <si>
    <t>revolver/a_contratiempo.html</t>
  </si>
  <si>
    <t>revolver/babilonia.html</t>
  </si>
  <si>
    <t>revolver/bailando_en_la_frontera.html</t>
  </si>
  <si>
    <t>revolver/balas_perdidas.html</t>
  </si>
  <si>
    <t>revolver/beguine.html</t>
  </si>
  <si>
    <t>revolver/besare_el_suelo.html</t>
  </si>
  <si>
    <t>revolver/besos_de_contrabando.html</t>
  </si>
  <si>
    <t>revolver/blackjack.html</t>
  </si>
  <si>
    <t>revolver/cada_dia.html</t>
  </si>
  <si>
    <t>revolver/calle_mayor.html</t>
  </si>
  <si>
    <t>revolver/calor_y_tiempo.html</t>
  </si>
  <si>
    <t>revolver/camisa_de_once_varas_(seguridad_social).html</t>
  </si>
  <si>
    <t>revolver/campanilla.html</t>
  </si>
  <si>
    <t>revolver/carreteras_secundarias.html</t>
  </si>
  <si>
    <t>revolver/cerrare_los_ojos.html</t>
  </si>
  <si>
    <t>revolver/clarisa.html</t>
  </si>
  <si>
    <t>revolver/como_unico_equipaje.html</t>
  </si>
  <si>
    <t>revolver/cuando_todo_va_bien.html</t>
  </si>
  <si>
    <t>revolver/dame.html</t>
  </si>
  <si>
    <t>revolver/dentro_de_ti.html</t>
  </si>
  <si>
    <t>revolver/deprimencia.html</t>
  </si>
  <si>
    <t>revolver/desde_que_no_estas_aqui.html</t>
  </si>
  <si>
    <t>revolver/dias_de_vino_y_rosas.html</t>
  </si>
  <si>
    <t>revolver/dime_como_lo_hago_yo.html</t>
  </si>
  <si>
    <t>revolver/dime_por_que.html</t>
  </si>
  <si>
    <t>revolver/donde_esta_el_final.html</t>
  </si>
  <si>
    <t>revolver/dos_por_dos.html</t>
  </si>
  <si>
    <t>revolver/duro_de_llevar.html</t>
  </si>
  <si>
    <t>revolver/ella_es_y_sera_todo_para_mi.html</t>
  </si>
  <si>
    <t>revolver/el_aire_sabe_a_veneno.html</t>
  </si>
  <si>
    <t>revolver/el_anillo_de_boda.html</t>
  </si>
  <si>
    <t>revolver/el_boulevard_de_los_idiotas.html</t>
  </si>
  <si>
    <t>revolver/el_canal.html</t>
  </si>
  <si>
    <t>revolver/el_dorado.html</t>
  </si>
  <si>
    <t>revolver/el_mismo_hombre.html</t>
  </si>
  <si>
    <t>revolver/el_otoño_esta_al_caer.html</t>
  </si>
  <si>
    <t>revolver/el_peligro.html</t>
  </si>
  <si>
    <t>revolver/el_roce_de_tu_piel.html</t>
  </si>
  <si>
    <t>revolver/el_unico_espectador.html</t>
  </si>
  <si>
    <t>revolver/entre_las_nubes.html</t>
  </si>
  <si>
    <t>revolver/en_blanco_y_negro.html</t>
  </si>
  <si>
    <t>revolver/en_un_mundo_de_dos.html</t>
  </si>
  <si>
    <t>revolver/esclavo_de_tu_amor.html</t>
  </si>
  <si>
    <t>revolver/ese_viejo_rock_n_roll.html</t>
  </si>
  <si>
    <t>revolver/eso_de_saber.html</t>
  </si>
  <si>
    <t>revolver/esperando_mi_tren.html</t>
  </si>
  <si>
    <t>revolver/esta_ciudad.html</t>
  </si>
  <si>
    <t>revolver/esta_guerra_tuya_y_mia.html</t>
  </si>
  <si>
    <t>revolver/esta_noche.html</t>
  </si>
  <si>
    <t>revolver/esta_noche_a_mis_pies.html</t>
  </si>
  <si>
    <t>revolver/esta_noche_tengo_mas_de_lo_normal.html</t>
  </si>
  <si>
    <t>revolver/es_lo_que_es_hay_lo_que_hay.html</t>
  </si>
  <si>
    <t>revolver/es_mejor_caminar.html</t>
  </si>
  <si>
    <t>revolver/faro_de_lisboa.html</t>
  </si>
  <si>
    <t>revolver/frio_en_madrid.html</t>
  </si>
  <si>
    <t>revolver/fuera_de_lugar.html</t>
  </si>
  <si>
    <t>revolver/gargantas_y_desfiladeros.html</t>
  </si>
  <si>
    <t>revolver/hay_besos.html</t>
  </si>
  <si>
    <t>revolver/he_de_salir.html</t>
  </si>
  <si>
    <t>revolver/intentando_vadear.html</t>
  </si>
  <si>
    <t>revolver/johnny_and_mary.html</t>
  </si>
  <si>
    <t>revolver/las_armas_rotas.html</t>
  </si>
  <si>
    <t>revolver/las_calles_de_madrid.html</t>
  </si>
  <si>
    <t>revolver/la_carretera.html</t>
  </si>
  <si>
    <t>revolver/la_flor_mas_bella.html</t>
  </si>
  <si>
    <t>revolver/la_fortuna.html</t>
  </si>
  <si>
    <t>revolver/la_luna_se_esconde.html</t>
  </si>
  <si>
    <t>revolver/la_moral_mora_en_la_moneda.html</t>
  </si>
  <si>
    <t>revolver/la_rosa_y_la_cruz.html</t>
  </si>
  <si>
    <t>revolver/la_sonrisa_de_tu_boca.html</t>
  </si>
  <si>
    <t>revolver/la_vanidad.html</t>
  </si>
  <si>
    <t>revolver/lecho_de_rosas.html</t>
  </si>
  <si>
    <t>revolver/lisa_y_fran.html</t>
  </si>
  <si>
    <t>revolver/los_surcos_de_tu_espalda.html</t>
  </si>
  <si>
    <t>revolver/los_tres_caballeros.html</t>
  </si>
  <si>
    <t>revolver/lo_que_ana_ve.html</t>
  </si>
  <si>
    <t>revolver/lo_que_me_hace_feliz.html</t>
  </si>
  <si>
    <t>revolver/magnolia_lane.html</t>
  </si>
  <si>
    <t>revolver/malvarrosa_affaire.html</t>
  </si>
  <si>
    <t>revolver/manos_arriba.html</t>
  </si>
  <si>
    <t>revolver/marineros_varados.html</t>
  </si>
  <si>
    <t>revolver/mas_por_ellos_que_por_mi.html</t>
  </si>
  <si>
    <t>revolver/mas_tequila.html</t>
  </si>
  <si>
    <t>revolver/mestizo.html</t>
  </si>
  <si>
    <t>revolver/me_cuesta_tanto_olvidarte.html</t>
  </si>
  <si>
    <t>revolver/mi_norte_siempre_apunta_al_sur.html</t>
  </si>
  <si>
    <t>revolver/mi_rendicion.html</t>
  </si>
  <si>
    <t>revolver/mi_revolucion.html</t>
  </si>
  <si>
    <t>revolver/muevete.html</t>
  </si>
  <si>
    <t>revolver/mustang_shelby.html</t>
  </si>
  <si>
    <t>revolver/nacidos_para_la_gloria.html</t>
  </si>
  <si>
    <t>revolver/no_escupas_al_suelo.html</t>
  </si>
  <si>
    <t>revolver/no_hay_mañanas.html</t>
  </si>
  <si>
    <t>revolver/no_me_hace_falta_mas.html</t>
  </si>
  <si>
    <t>revolver/no_va_mas.html</t>
  </si>
  <si>
    <t>revolver/odio.html</t>
  </si>
  <si>
    <t>revolver/olas_muertas.html</t>
  </si>
  <si>
    <t>revolver/olvide_nuestra_cancion.html</t>
  </si>
  <si>
    <t>revolver/palabras_sin_nombre.html</t>
  </si>
  <si>
    <t>revolver/perdi_lo_que_no_tuve.html</t>
  </si>
  <si>
    <t>revolver/petroleros.html</t>
  </si>
  <si>
    <t>revolver/planeta_prozac.html</t>
  </si>
  <si>
    <t>revolver/por_un_beso.html</t>
  </si>
  <si>
    <t>revolver/premios_y_cicatrices.html</t>
  </si>
  <si>
    <t>revolver/princesas_o_mendigos.html</t>
  </si>
  <si>
    <t>revolver/que_sera.html</t>
  </si>
  <si>
    <t>revolver/quien_esta_mas_vivo_de_los_dos.html</t>
  </si>
  <si>
    <t>revolver/quiero_aire.html</t>
  </si>
  <si>
    <t>revolver/reconozco_la_frontera.html</t>
  </si>
  <si>
    <t>revolver/reir_y_llorar.html</t>
  </si>
  <si>
    <t>revolver/respirando_bajo_el_agua.html</t>
  </si>
  <si>
    <t>revolver/revolucion.html</t>
  </si>
  <si>
    <t>revolver/rodrigo_y_teresa.html</t>
  </si>
  <si>
    <t>revolver/rosario.html</t>
  </si>
  <si>
    <t>revolver/santa_maria.html</t>
  </si>
  <si>
    <t>revolver/san_francisco.html</t>
  </si>
  <si>
    <t>revolver/san_pedro.html</t>
  </si>
  <si>
    <t>revolver/sara.html</t>
  </si>
  <si>
    <t>revolver/sin_barcelona.html</t>
  </si>
  <si>
    <t>revolver/si_es_por_ti.html</t>
  </si>
  <si>
    <t>revolver/si_es_tan_solo_amor.html</t>
  </si>
  <si>
    <t>revolver/si_no_hubiera_que_correr.html</t>
  </si>
  <si>
    <t>revolver/sol_de_invierno.html</t>
  </si>
  <si>
    <t>revolver/soy_como_soy.html</t>
  </si>
  <si>
    <t>revolver/teamotemor.html</t>
  </si>
  <si>
    <t>revolver/tengo_mi_tiempo.html</t>
  </si>
  <si>
    <t>revolver/ten_fe_en_mi.html</t>
  </si>
  <si>
    <t>revolver/te_quiero.html</t>
  </si>
  <si>
    <t>revolver/tiempo_pequeño.html</t>
  </si>
  <si>
    <t>revolver/tierra_baldia.html</t>
  </si>
  <si>
    <t>revolver/todos_somos_capitanes.html</t>
  </si>
  <si>
    <t>revolver/todo_aquello_que_jamas_sere.html</t>
  </si>
  <si>
    <t>revolver/todo_a_pulmon.html</t>
  </si>
  <si>
    <t>revolver/todo_lo_que_no_se_llora_no_se_limpia.html</t>
  </si>
  <si>
    <t>revolver/tu_camino.html</t>
  </si>
  <si>
    <t>revolver/tu_cancion.html</t>
  </si>
  <si>
    <t>revolver/tu_lado_bueno.html</t>
  </si>
  <si>
    <t>revolver/tu_noche_y_la_mia.html</t>
  </si>
  <si>
    <t>revolver/tu_y_yo.html</t>
  </si>
  <si>
    <t>revolver/una_guerra_feliz.html</t>
  </si>
  <si>
    <t>revolver/una_lluvia_violenta_y_salvaje.html</t>
  </si>
  <si>
    <t>revolver/viaje_a_ninguna_parte.html</t>
  </si>
  <si>
    <t>revolver/vidas.html</t>
  </si>
  <si>
    <t>revolver/ya_no_hay_dos_para_cenar.html</t>
  </si>
  <si>
    <t>revolver/y_ahora_que.html</t>
  </si>
  <si>
    <t>revolver/y_del_hombre.html</t>
  </si>
  <si>
    <t>revolver/y_pasa_el_tiempo.html</t>
  </si>
  <si>
    <t>sidecars/180_grados.html</t>
  </si>
  <si>
    <t>sidecars/adios.html</t>
  </si>
  <si>
    <t>sidecars/amasijo_de_huesos.html</t>
  </si>
  <si>
    <t>sidecars/anfetamina.html</t>
  </si>
  <si>
    <t>sidecars/apaga_y_vamonos.html</t>
  </si>
  <si>
    <t>sidecars/atrapado_en_el_tiempo.html</t>
  </si>
  <si>
    <t>sidecars/a_dia_de_hoy.html</t>
  </si>
  <si>
    <t>sidecars/caballos_salvajes.html</t>
  </si>
  <si>
    <t>sidecars/canciones_prohibidas.html</t>
  </si>
  <si>
    <t>sidecars/caradura.html</t>
  </si>
  <si>
    <t>sidecars/caras_largas.html</t>
  </si>
  <si>
    <t>sidecars/chavales_de_instituto.html</t>
  </si>
  <si>
    <t>sidecars/chica_facil.html</t>
  </si>
  <si>
    <t>sidecars/conmigo_o_sin_mi.html</t>
  </si>
  <si>
    <t>sidecars/contra_las_cuerdas.html</t>
  </si>
  <si>
    <t>sidecars/costa_da_morte.html</t>
  </si>
  <si>
    <t>sidecars/cremalleras.html</t>
  </si>
  <si>
    <t>sidecars/cuando_caigas_en_shock.html</t>
  </si>
  <si>
    <t>sidecars/dejalo_sangrar.html</t>
  </si>
  <si>
    <t>sidecars/despues_del_fin.html</t>
  </si>
  <si>
    <t>sidecars/detras_de_los_focos.html</t>
  </si>
  <si>
    <t>sidecars/de_pelicula.html</t>
  </si>
  <si>
    <t>sidecars/dinamita.html</t>
  </si>
  <si>
    <t>sidecars/el_camino_facil.html</t>
  </si>
  <si>
    <t>sidecars/el_jugador.html</t>
  </si>
  <si>
    <t>sidecars/el_monstruo_final.html</t>
  </si>
  <si>
    <t>sidecars/el_pasaje_del_terror.html</t>
  </si>
  <si>
    <t>sidecars/el_peor_verano.html</t>
  </si>
  <si>
    <t>sidecars/el_ruido_de_la_calle.html</t>
  </si>
  <si>
    <t>sidecars/fantasias_delirantes.html</t>
  </si>
  <si>
    <t>sidecars/fan_de_ti.html</t>
  </si>
  <si>
    <t>sidecars/filomena.html</t>
  </si>
  <si>
    <t>sidecars/fuego_cruzado.html</t>
  </si>
  <si>
    <t>sidecars/galaxia.html</t>
  </si>
  <si>
    <t>sidecars/garabatos.html</t>
  </si>
  <si>
    <t>sidecars/golpe_de_suerte.html</t>
  </si>
  <si>
    <t>sidecars/hasta_el_final.html</t>
  </si>
  <si>
    <t>sidecars/la_estampida.html</t>
  </si>
  <si>
    <t>sidecars/la_noche_en_calma.html</t>
  </si>
  <si>
    <t>sidecars/la_tormenta.html</t>
  </si>
  <si>
    <t>sidecars/llueve.html</t>
  </si>
  <si>
    <t>sidecars/locos_de_atar.html</t>
  </si>
  <si>
    <t>sidecars/looping_star.html</t>
  </si>
  <si>
    <t>sidecars/los_amantes.html</t>
  </si>
  <si>
    <t>sidecars/luz_de_gas.html</t>
  </si>
  <si>
    <t>sidecars/merecido.html</t>
  </si>
  <si>
    <t>sidecars/microinfarto.html</t>
  </si>
  <si>
    <t>sidecars/mienteme.html</t>
  </si>
  <si>
    <t>sidecars/modo_avion.html</t>
  </si>
  <si>
    <t>sidecars/mundo_fragil.html</t>
  </si>
  <si>
    <t>sidecars/mundo_imperfecto.html</t>
  </si>
  <si>
    <t>sidecars/muy_bien.html</t>
  </si>
  <si>
    <t>sidecars/noches_de_guardia.html</t>
  </si>
  <si>
    <t>sidecars/noche_en_velero.html</t>
  </si>
  <si>
    <t>sidecars/no_vuelvas.html</t>
  </si>
  <si>
    <t>sidecars/olvidame.html</t>
  </si>
  <si>
    <t>sidecars/pastillas_de_colores.html</t>
  </si>
  <si>
    <t>sidecars/plan_b.html</t>
  </si>
  <si>
    <t>sidecars/polvorosa.html</t>
  </si>
  <si>
    <t>sidecars/precipicios.html</t>
  </si>
  <si>
    <t>sidecars/quien_sabe.html</t>
  </si>
  <si>
    <t>sidecars/ruido_de_fondo.html</t>
  </si>
  <si>
    <t>sidecars/salir_a_matar.html</t>
  </si>
  <si>
    <t>sidecars/si_nada_sale_bien.html</t>
  </si>
  <si>
    <t>sidecars/soledad.html</t>
  </si>
  <si>
    <t>sidecars/tan_rapido.html</t>
  </si>
  <si>
    <t>sidecars/todos_mis_males.html</t>
  </si>
  <si>
    <t>sidecars/todo_es_mentira.html</t>
  </si>
  <si>
    <t>sidecars/todo_lo_demas.html</t>
  </si>
  <si>
    <t>sidecars/trece.html</t>
  </si>
  <si>
    <t>sidecars/tu_mejor_pesadilla.html</t>
  </si>
  <si>
    <t>sidecars/una_eternidad.html</t>
  </si>
  <si>
    <t>sidecars/un_tipo_elegante.html</t>
  </si>
  <si>
    <t>sidecars/volando_en_circulos.html</t>
  </si>
  <si>
    <t>sidecars/voyeur.html</t>
  </si>
  <si>
    <t>sidecars/ya_no_tengo_problemas.html</t>
  </si>
  <si>
    <t>id</t>
  </si>
  <si>
    <t>rev</t>
  </si>
  <si>
    <t>lag</t>
  </si>
  <si>
    <t>mar</t>
  </si>
  <si>
    <t>lovg</t>
  </si>
  <si>
    <t>amar</t>
  </si>
  <si>
    <t>kank</t>
  </si>
  <si>
    <t>jlper</t>
  </si>
  <si>
    <t>ecdl</t>
  </si>
  <si>
    <t>bely</t>
  </si>
  <si>
    <t>iserr</t>
  </si>
  <si>
    <t>funa</t>
  </si>
  <si>
    <t>mner</t>
  </si>
  <si>
    <t>ttxu</t>
  </si>
  <si>
    <t>jsab</t>
  </si>
  <si>
    <t>pere</t>
  </si>
  <si>
    <t>leiv</t>
  </si>
  <si>
    <t>side</t>
  </si>
  <si>
    <t>tabu</t>
  </si>
  <si>
    <t>desp</t>
  </si>
  <si>
    <t>fito</t>
  </si>
  <si>
    <t>suar</t>
  </si>
  <si>
    <t>rpons</t>
  </si>
  <si>
    <t>mclan</t>
  </si>
  <si>
    <t>ebs</t>
  </si>
  <si>
    <t>otros</t>
  </si>
  <si>
    <t>conch</t>
  </si>
  <si>
    <t>upema</t>
  </si>
  <si>
    <t>cño</t>
  </si>
  <si>
    <t>ellar</t>
  </si>
  <si>
    <t>vali</t>
  </si>
  <si>
    <t>eren</t>
  </si>
  <si>
    <t>etpa</t>
  </si>
  <si>
    <t>luth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</si>
</sst>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0" fontId="0" fillId="0" borderId="0" xfId="1" applyNumberFormat="1" applyFont="1"/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/>
  </cellXfs>
  <cellStyles count="2">
    <cellStyle name="Normal" xfId="0" builtinId="0"/>
    <cellStyle name="Porcentaje" xfId="1" builtinId="5"/>
  </cellStyles>
  <dxfs count="3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8CA1A6-9ADE-414A-9EB6-26BE282A5AA2}" name="Tabla1" displayName="Tabla1" ref="A1:AG218" totalsRowShown="0" headerRowDxfId="29">
  <autoFilter ref="A1:AG218" xr:uid="{758CA1A6-9ADE-414A-9EB6-26BE282A5AA2}"/>
  <tableColumns count="33">
    <tableColumn id="2" xr3:uid="{1868290F-1333-4A1D-BDA0-555948A8384D}" name="Revólver" dataDxfId="28"/>
    <tableColumn id="3" xr3:uid="{1BCCFEAC-86BE-40EB-95E1-2DBA36198976}" name="LOVG" dataDxfId="27"/>
    <tableColumn id="4" xr3:uid="{6748C6B9-6123-4F5D-B5F3-C7775AF79A23}" name="Amaral" dataDxfId="26"/>
    <tableColumn id="5" xr3:uid="{16D9DD4E-F6AE-4DBB-B1D6-ECC0A5D0CF2B}" name="El Kanka" dataDxfId="25"/>
    <tableColumn id="6" xr3:uid="{7D11F945-A2B7-4377-89F2-EA8D304BAD6C}" name="José Luis Perales" dataDxfId="24"/>
    <tableColumn id="7" xr3:uid="{995606D8-833C-4D36-9F3F-80F573AC5EDE}" name="El Canto del Loco" dataDxfId="23"/>
    <tableColumn id="8" xr3:uid="{049C87AA-A0A1-4FF1-8D00-2EB064ABD536}" name="Bely Basarte" dataDxfId="22"/>
    <tableColumn id="9" xr3:uid="{07F83549-57B0-4A8E-BB7C-E5FFB57C70BD}" name="Ismael Serrano" dataDxfId="21"/>
    <tableColumn id="10" xr3:uid="{A0471D91-AC46-4DDF-8CC7-DD111F495F4C}" name="Funambulista" dataDxfId="20"/>
    <tableColumn id="11" xr3:uid="{023A4289-6122-4C9C-98DA-00F4ECD42C9E}" name="Lagarto Amarillo" dataDxfId="19"/>
    <tableColumn id="12" xr3:uid="{F14F1F3C-1B45-4FEE-8A9D-A7DEE3825391}" name="Maldita Nerea" dataDxfId="18"/>
    <tableColumn id="13" xr3:uid="{86395FBA-06EB-466E-A3C6-B18C57609F92}" name="Tontxu" dataDxfId="17"/>
    <tableColumn id="14" xr3:uid="{A28B399C-6A6C-4234-9F92-6D7A886F61CE}" name="Joaquín Sabina" dataDxfId="16"/>
    <tableColumn id="15" xr3:uid="{8185CDFA-C4CC-4B38-BB0B-9A645B40253A}" name="Pereza" dataDxfId="15"/>
    <tableColumn id="16" xr3:uid="{AC27C7BF-154D-42A7-B5A4-10AA91FDF7EA}" name="Leiva" dataDxfId="14"/>
    <tableColumn id="17" xr3:uid="{095BEE76-FF2A-4537-B504-71AF85C18BFA}" name="Sidecars" dataDxfId="13"/>
    <tableColumn id="18" xr3:uid="{E807DE4D-DF8C-4456-B1C1-36B3118BB291}" name="Andrés Suárez" dataDxfId="12"/>
    <tableColumn id="19" xr3:uid="{73A01058-ABE3-43FC-8995-407356BC048E}" name="Rafa Pons" dataDxfId="11"/>
    <tableColumn id="20" xr3:uid="{659A0A23-A7CA-46A3-9BC8-D1B4484B9053}" name="MClan" dataDxfId="10"/>
    <tableColumn id="21" xr3:uid="{DB45BE34-3EC2-41BA-BFA4-DF8CB2328671}" name="Ella Baila Sola"/>
    <tableColumn id="22" xr3:uid="{00E0A55E-EF89-4321-89C4-65798B3E1DD9}" name="Marea"/>
    <tableColumn id="23" xr3:uid="{20A528EA-BFB3-4046-A127-791510A808C9}" name="Otros"/>
    <tableColumn id="24" xr3:uid="{6876421F-30F1-43C8-8919-E369BBF60A8F}" name="Conchita"/>
    <tableColumn id="25" xr3:uid="{10D91337-95AA-420A-BD02-01B96DE41AAC}" name="Taburete"/>
    <tableColumn id="26" xr3:uid="{28F29394-D90B-49AB-BE45-CC78185B44F5}" name="Despistaos"/>
    <tableColumn id="27" xr3:uid="{930FC99C-7CBC-443C-8449-A6541AB2D50B}" name="Un pingüino en mi ascensor"/>
    <tableColumn id="28" xr3:uid="{90D99563-B472-4286-AF8B-94E03122E145}" name="Fito"/>
    <tableColumn id="29" xr3:uid="{252C4E69-EB99-413B-AA6A-8E0EDF528FA2}" name="Cariño"/>
    <tableColumn id="30" xr3:uid="{B443E5C2-7E82-4163-9F1D-21FB0469BC4B}" name="Sofía Ellar"/>
    <tableColumn id="31" xr3:uid="{07489253-F9A8-4D4F-89E6-E02D32F34610}" name="Valira"/>
    <tableColumn id="32" xr3:uid="{7A2FBE84-8AE2-4A57-BE03-E25679D64502}" name="Mikel Erentxun"/>
    <tableColumn id="33" xr3:uid="{206463D7-DD76-497E-ABD9-C077D7E66CBC}" name="Estopa"/>
    <tableColumn id="34" xr3:uid="{A84D18B0-8E94-484E-9C4E-7F7FB38950BC}" name="Les Luthi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C0CBE4-D2B1-47AA-BCA9-CC753DD864C7}" name="Revólver" displayName="Revólver" ref="A1:F193" totalsRowShown="0">
  <autoFilter ref="A1:F193" xr:uid="{5AC0CBE4-D2B1-47AA-BCA9-CC753DD864C7}"/>
  <sortState xmlns:xlrd2="http://schemas.microsoft.com/office/spreadsheetml/2017/richdata2" ref="A2:F193">
    <sortCondition ref="A1:A193"/>
  </sortState>
  <tableColumns count="6">
    <tableColumn id="1" xr3:uid="{D73935D2-1E10-4825-9F26-3B6A82A1E93E}" name="Título" dataDxfId="9"/>
    <tableColumn id="8" xr3:uid="{05C287E4-EF93-4E07-8704-04D8874B2B70}" name="Autor"/>
    <tableColumn id="2" xr3:uid="{E75396E9-FD9B-4A75-BAFD-542D7F71122A}" name="Álbum"/>
    <tableColumn id="3" xr3:uid="{5BEFCD81-6EF9-426E-9AD9-D28C89A93373}" name="html" dataDxfId="8"/>
    <tableColumn id="4" xr3:uid="{8561FF3D-9BDF-43E0-90BD-E579F976C15A}" name="ruta" dataDxfId="7">
      <calculatedColumnFormula>SUBSTITUTE(SUBSTITUTE(SUBSTITUTE(SUBSTITUTE(SUBSTITUTE(SUBSTITUTE(SUBSTITUTE(SUBSTITUTE(SUBSTITUTE(SUBSTITUTE(SUBSTITUTE(LOWER(Revólver[[#This Row],[Título]]),"á","a"),"é","e"),"í","i"),"ó","o"),"ú","u")," ","_"),"¿",""),"?",""),"¡",""),"!",""),",","")&amp;".html"</calculatedColumnFormula>
    </tableColumn>
    <tableColumn id="5" xr3:uid="{B3331C14-3343-437A-BEE5-FF4DA1A2D8D4}" name="Columna1" dataDxfId="6">
      <calculatedColumnFormula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69DE5B-8501-45E5-895C-8DD2CB1B2C2C}" name="Tabla5" displayName="Tabla5" ref="A1:D1138" totalsRowShown="0">
  <autoFilter ref="A1:D1138" xr:uid="{EE69DE5B-8501-45E5-895C-8DD2CB1B2C2C}"/>
  <tableColumns count="4">
    <tableColumn id="1" xr3:uid="{675C8EB0-2956-4575-9162-99520EF8AE2B}" name="archivo"/>
    <tableColumn id="2" xr3:uid="{1D19DB6A-A298-4077-8703-2A1F43B0C7ED}" name="title"/>
    <tableColumn id="3" xr3:uid="{00A74AD8-C15E-417C-A2FB-30262D83E11A}" name="titulo"/>
    <tableColumn id="4" xr3:uid="{D5008BBD-2BB9-41EC-84CF-39F20598716F}" name="carpeta" dataDxfId="3">
      <calculatedColumnFormula>_xlfn.TEXTBEFORE(Tabla5[[#This Row],[archivo]],"/")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D9060-412A-4ECD-BAE4-B0D1C03A94E9}" name="LOVG" displayName="LOVG" ref="A1:F126" totalsRowShown="0">
  <autoFilter ref="A1:F126" xr:uid="{35AD9060-412A-4ECD-BAE4-B0D1C03A94E9}"/>
  <sortState xmlns:xlrd2="http://schemas.microsoft.com/office/spreadsheetml/2017/richdata2" ref="A2:F126">
    <sortCondition ref="A1:A126"/>
  </sortState>
  <tableColumns count="6">
    <tableColumn id="1" xr3:uid="{AAD0FD36-90F0-497F-B459-312F2B9C3C0C}" name="Título"/>
    <tableColumn id="2" xr3:uid="{368D07AA-576A-45AE-AF58-821BC1CBA34E}" name="Autor"/>
    <tableColumn id="3" xr3:uid="{76FFD971-B944-49C8-8F99-204B242147B2}" name="Álbum"/>
    <tableColumn id="4" xr3:uid="{F25640C1-E35C-4BBB-84E0-A7B89C9A1D08}" name="html" dataDxfId="5"/>
    <tableColumn id="5" xr3:uid="{53D2E056-2220-4531-87CD-2790E1A7DD01}" name="ruta">
      <calculatedColumnFormula>SUBSTITUTE(SUBSTITUTE(SUBSTITUTE(SUBSTITUTE(SUBSTITUTE(SUBSTITUTE(SUBSTITUTE(SUBSTITUTE(SUBSTITUTE(SUBSTITUTE(SUBSTITUTE(LOWER(LOVG[[#This Row],[Título]]),"á","a"),"é","e"),"í","i"),"ó","o"),"ú","u")," ","_"),"¿",""),"?",""),"¡",""),"!",""),",","")&amp;".html"</calculatedColumnFormula>
    </tableColumn>
    <tableColumn id="6" xr3:uid="{A5FCB458-3C71-4EEF-A398-54860A0ED920}" name="Columna1" dataDxfId="4">
      <calculatedColumnFormula>"&lt;li data-author="""&amp;LOVG[[#This Row],[Autor]]&amp;""" data-album="""&amp;LOVG[[#This Row],[Álbum]]&amp;"""&gt;&lt;a href=""canciones/"&amp;"lovg"&amp;"/"&amp;LOVG[[#This Row],[ruta]]&amp;"""&gt;"&amp;LOVG[[#This Row],[Título]]&amp;"&lt;/a&gt;&lt;/li&gt;"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62EEC5-C198-4A3F-85E4-8867602A35EA}" name="Amaral" displayName="Amaral" ref="A1:F126" totalsRowShown="0">
  <autoFilter ref="A1:F126" xr:uid="{5AC0CBE4-D2B1-47AA-BCA9-CC753DD864C7}"/>
  <sortState xmlns:xlrd2="http://schemas.microsoft.com/office/spreadsheetml/2017/richdata2" ref="A2:F126">
    <sortCondition ref="A1:A126"/>
  </sortState>
  <tableColumns count="6">
    <tableColumn id="1" xr3:uid="{D82219C0-9731-41C1-B441-39002E5B8488}" name="Título" dataDxfId="33"/>
    <tableColumn id="8" xr3:uid="{BEC06232-BB25-4786-8381-187E72E6B3EC}" name="Autor"/>
    <tableColumn id="2" xr3:uid="{C10CE601-1D98-4908-A719-B279B527B77F}" name="Álbum"/>
    <tableColumn id="3" xr3:uid="{BDFD32F2-687A-411E-B92D-228759472E98}" name="html" dataDxfId="32"/>
    <tableColumn id="4" xr3:uid="{9341CC9B-4A4C-42DC-BDF7-4054C41DA279}" name="ruta" dataDxfId="31">
      <calculatedColumnFormula>SUBSTITUTE(SUBSTITUTE(SUBSTITUTE(SUBSTITUTE(SUBSTITUTE(SUBSTITUTE(SUBSTITUTE(SUBSTITUTE(SUBSTITUTE(SUBSTITUTE(SUBSTITUTE(LOWER(Amaral[[#This Row],[Título]]),"á","a"),"é","e"),"í","i"),"ó","o"),"ú","u")," ","_"),"¿",""),"?",""),"¡",""),"!",""),",","")&amp;".html"</calculatedColumnFormula>
    </tableColumn>
    <tableColumn id="5" xr3:uid="{6F6CDA31-5B61-4288-B4B5-026FE02F90D9}" name="Columna1" dataDxfId="30">
      <calculatedColumnFormula>"&lt;li data-author="""&amp;Amaral[[#This Row],[Autor]]&amp;""" data-album="""&amp;Amaral[[#This Row],[Álbum]]&amp;"""&gt;&lt;a href=""canciones/"&amp;"revolver"&amp;"/"&amp;Amaral[[#This Row],[ruta]]&amp;"""&gt;"&amp;Amaral[[#This Row],[Título]]&amp;"&lt;/a&gt;&lt;/li&gt;"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5B2C-1177-4F7A-AC0A-DFCCE16558BC}">
  <dimension ref="A1:AI218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ColWidth="35.6640625" defaultRowHeight="14.4" x14ac:dyDescent="0.3"/>
  <cols>
    <col min="1" max="19" width="35.6640625" style="1"/>
    <col min="35" max="16384" width="35.6640625" style="1"/>
  </cols>
  <sheetData>
    <row r="1" spans="1:35" s="4" customFormat="1" x14ac:dyDescent="0.3">
      <c r="A1" s="9" t="s">
        <v>231</v>
      </c>
      <c r="B1" s="8" t="s">
        <v>2597</v>
      </c>
      <c r="C1" s="4" t="s">
        <v>232</v>
      </c>
      <c r="D1" s="4" t="s">
        <v>326</v>
      </c>
      <c r="E1" s="4" t="s">
        <v>592</v>
      </c>
      <c r="F1" s="4" t="s">
        <v>605</v>
      </c>
      <c r="G1" s="4" t="s">
        <v>694</v>
      </c>
      <c r="H1" s="4" t="s">
        <v>695</v>
      </c>
      <c r="I1" s="4" t="s">
        <v>696</v>
      </c>
      <c r="J1" s="4" t="s">
        <v>697</v>
      </c>
      <c r="K1" s="4" t="s">
        <v>698</v>
      </c>
      <c r="L1" s="4" t="s">
        <v>699</v>
      </c>
      <c r="M1" s="4" t="s">
        <v>2379</v>
      </c>
      <c r="N1" s="4" t="s">
        <v>1229</v>
      </c>
      <c r="O1" s="4" t="s">
        <v>1230</v>
      </c>
      <c r="P1" s="4" t="s">
        <v>1231</v>
      </c>
      <c r="Q1" s="4" t="s">
        <v>1234</v>
      </c>
      <c r="R1" s="4" t="s">
        <v>1667</v>
      </c>
      <c r="S1" s="4" t="s">
        <v>1529</v>
      </c>
      <c r="T1" s="4" t="s">
        <v>1740</v>
      </c>
      <c r="U1" s="4" t="s">
        <v>1739</v>
      </c>
      <c r="V1" s="4" t="s">
        <v>2417</v>
      </c>
      <c r="W1" s="4" t="s">
        <v>1861</v>
      </c>
      <c r="X1" s="4" t="s">
        <v>1971</v>
      </c>
      <c r="Y1" s="4" t="s">
        <v>2015</v>
      </c>
      <c r="Z1" s="4" t="s">
        <v>2116</v>
      </c>
      <c r="AA1" s="4" t="s">
        <v>2194</v>
      </c>
      <c r="AB1" s="4" t="s">
        <v>2331</v>
      </c>
      <c r="AC1" s="4" t="s">
        <v>2351</v>
      </c>
      <c r="AD1" s="4" t="s">
        <v>2332</v>
      </c>
      <c r="AE1" s="4" t="s">
        <v>2377</v>
      </c>
      <c r="AF1" s="4" t="s">
        <v>2266</v>
      </c>
      <c r="AG1" s="4" t="s">
        <v>2267</v>
      </c>
      <c r="AI1" s="4" t="s">
        <v>1490</v>
      </c>
    </row>
    <row r="2" spans="1:35" x14ac:dyDescent="0.3">
      <c r="A2" s="3" t="s">
        <v>0</v>
      </c>
      <c r="B2" s="3" t="s">
        <v>124</v>
      </c>
      <c r="C2" s="3">
        <v>1997</v>
      </c>
      <c r="D2" s="3" t="s">
        <v>327</v>
      </c>
      <c r="E2" s="3" t="s">
        <v>379</v>
      </c>
      <c r="F2" s="3" t="s">
        <v>622</v>
      </c>
      <c r="G2" s="2" t="s">
        <v>383</v>
      </c>
      <c r="H2" s="6" t="s">
        <v>909</v>
      </c>
      <c r="I2" s="2" t="s">
        <v>1473</v>
      </c>
      <c r="J2" s="3" t="s">
        <v>724</v>
      </c>
      <c r="K2" s="3" t="s">
        <v>773</v>
      </c>
      <c r="L2" s="2" t="s">
        <v>826</v>
      </c>
      <c r="M2" s="6">
        <v>1968</v>
      </c>
      <c r="N2" s="3" t="s">
        <v>1294</v>
      </c>
      <c r="O2" s="3">
        <v>92</v>
      </c>
      <c r="P2" s="3" t="s">
        <v>2330</v>
      </c>
      <c r="Q2" s="3" t="s">
        <v>1426</v>
      </c>
      <c r="R2" s="3" t="s">
        <v>1697</v>
      </c>
      <c r="S2" s="3" t="s">
        <v>1592</v>
      </c>
      <c r="T2" s="2" t="s">
        <v>1765</v>
      </c>
      <c r="U2" s="3" t="s">
        <v>1817</v>
      </c>
      <c r="V2" s="3" t="s">
        <v>2437</v>
      </c>
      <c r="W2" s="2" t="s">
        <v>1929</v>
      </c>
      <c r="X2" s="6" t="s">
        <v>1998</v>
      </c>
      <c r="Y2" s="6" t="s">
        <v>2027</v>
      </c>
      <c r="Z2" s="6" t="s">
        <v>2264</v>
      </c>
      <c r="AA2" s="2" t="s">
        <v>2208</v>
      </c>
      <c r="AB2" s="3" t="s">
        <v>2336</v>
      </c>
      <c r="AC2" s="3" t="s">
        <v>2358</v>
      </c>
      <c r="AD2" s="1"/>
      <c r="AE2" s="1"/>
      <c r="AF2" s="1"/>
      <c r="AG2" s="1"/>
      <c r="AI2" s="6" t="s">
        <v>1530</v>
      </c>
    </row>
    <row r="3" spans="1:35" x14ac:dyDescent="0.3">
      <c r="A3" s="7" t="s">
        <v>2112</v>
      </c>
      <c r="B3" s="3" t="s">
        <v>125</v>
      </c>
      <c r="C3" s="3" t="s">
        <v>233</v>
      </c>
      <c r="D3" s="3" t="s">
        <v>328</v>
      </c>
      <c r="E3" s="2" t="s">
        <v>380</v>
      </c>
      <c r="F3" s="3" t="s">
        <v>652</v>
      </c>
      <c r="G3" s="2" t="s">
        <v>690</v>
      </c>
      <c r="H3" s="6" t="s">
        <v>910</v>
      </c>
      <c r="I3" s="2" t="s">
        <v>700</v>
      </c>
      <c r="J3" s="2" t="s">
        <v>725</v>
      </c>
      <c r="K3" s="3" t="s">
        <v>774</v>
      </c>
      <c r="L3" s="2" t="s">
        <v>1078</v>
      </c>
      <c r="M3" s="3" t="s">
        <v>1159</v>
      </c>
      <c r="N3" s="3" t="s">
        <v>1553</v>
      </c>
      <c r="O3" s="3" t="s">
        <v>2272</v>
      </c>
      <c r="P3" s="3" t="s">
        <v>1550</v>
      </c>
      <c r="Q3" s="3" t="s">
        <v>1465</v>
      </c>
      <c r="R3" s="3" t="s">
        <v>1682</v>
      </c>
      <c r="S3" s="3" t="s">
        <v>913</v>
      </c>
      <c r="T3" s="2" t="s">
        <v>1763</v>
      </c>
      <c r="U3" s="3" t="s">
        <v>1808</v>
      </c>
      <c r="V3" s="3" t="s">
        <v>2435</v>
      </c>
      <c r="W3" s="2" t="s">
        <v>1900</v>
      </c>
      <c r="X3" s="2" t="s">
        <v>2000</v>
      </c>
      <c r="Y3" s="6" t="s">
        <v>2038</v>
      </c>
      <c r="Z3" s="2" t="s">
        <v>2318</v>
      </c>
      <c r="AA3" s="2" t="s">
        <v>2211</v>
      </c>
      <c r="AB3" s="3" t="s">
        <v>2350</v>
      </c>
      <c r="AC3" s="6" t="s">
        <v>920</v>
      </c>
      <c r="AD3" s="1"/>
      <c r="AE3" s="1"/>
      <c r="AF3" s="1"/>
      <c r="AG3" s="1"/>
      <c r="AI3" s="6" t="s">
        <v>1531</v>
      </c>
    </row>
    <row r="4" spans="1:35" x14ac:dyDescent="0.3">
      <c r="A4" s="7" t="s">
        <v>1</v>
      </c>
      <c r="B4" s="3" t="s">
        <v>186</v>
      </c>
      <c r="C4" s="3" t="s">
        <v>234</v>
      </c>
      <c r="D4" s="3" t="s">
        <v>372</v>
      </c>
      <c r="E4" s="3" t="s">
        <v>381</v>
      </c>
      <c r="F4" s="3" t="s">
        <v>667</v>
      </c>
      <c r="G4" s="3" t="s">
        <v>670</v>
      </c>
      <c r="H4" s="6" t="s">
        <v>911</v>
      </c>
      <c r="I4" s="3" t="s">
        <v>1065</v>
      </c>
      <c r="J4" s="2" t="s">
        <v>726</v>
      </c>
      <c r="K4" s="3" t="s">
        <v>126</v>
      </c>
      <c r="L4" s="3" t="s">
        <v>827</v>
      </c>
      <c r="M4" s="6" t="s">
        <v>1081</v>
      </c>
      <c r="N4" s="3" t="s">
        <v>1263</v>
      </c>
      <c r="O4" s="3" t="s">
        <v>1352</v>
      </c>
      <c r="P4" s="3" t="s">
        <v>126</v>
      </c>
      <c r="Q4" s="3" t="s">
        <v>1450</v>
      </c>
      <c r="R4" s="3" t="s">
        <v>1729</v>
      </c>
      <c r="S4" s="2" t="s">
        <v>1579</v>
      </c>
      <c r="T4" s="6" t="s">
        <v>1743</v>
      </c>
      <c r="U4" s="2" t="s">
        <v>1828</v>
      </c>
      <c r="V4" s="3" t="s">
        <v>2438</v>
      </c>
      <c r="W4" s="6" t="s">
        <v>1860</v>
      </c>
      <c r="X4" s="2" t="s">
        <v>1979</v>
      </c>
      <c r="Y4" s="6" t="s">
        <v>2042</v>
      </c>
      <c r="Z4" s="2" t="s">
        <v>2169</v>
      </c>
      <c r="AA4" s="2" t="s">
        <v>2258</v>
      </c>
      <c r="AB4" s="6" t="s">
        <v>2347</v>
      </c>
      <c r="AC4" s="3" t="s">
        <v>2363</v>
      </c>
      <c r="AD4" s="1"/>
      <c r="AE4" s="1"/>
      <c r="AF4" s="1"/>
      <c r="AG4" s="1"/>
      <c r="AI4" s="6" t="s">
        <v>1532</v>
      </c>
    </row>
    <row r="5" spans="1:35" x14ac:dyDescent="0.3">
      <c r="A5" s="7" t="s">
        <v>2462</v>
      </c>
      <c r="B5" s="3" t="s">
        <v>1239</v>
      </c>
      <c r="C5" s="3" t="s">
        <v>235</v>
      </c>
      <c r="D5" s="3" t="s">
        <v>329</v>
      </c>
      <c r="E5" s="3" t="s">
        <v>382</v>
      </c>
      <c r="F5" s="3" t="s">
        <v>666</v>
      </c>
      <c r="G5" s="3" t="s">
        <v>671</v>
      </c>
      <c r="H5" s="6" t="s">
        <v>912</v>
      </c>
      <c r="I5" s="3" t="s">
        <v>701</v>
      </c>
      <c r="J5" s="2" t="s">
        <v>727</v>
      </c>
      <c r="K5" s="6" t="s">
        <v>775</v>
      </c>
      <c r="L5" s="3" t="s">
        <v>828</v>
      </c>
      <c r="M5" s="3" t="s">
        <v>1176</v>
      </c>
      <c r="N5" s="3" t="s">
        <v>828</v>
      </c>
      <c r="O5" s="3" t="s">
        <v>1323</v>
      </c>
      <c r="P5" s="3" t="s">
        <v>1393</v>
      </c>
      <c r="Q5" s="2" t="s">
        <v>1415</v>
      </c>
      <c r="R5" s="3" t="s">
        <v>395</v>
      </c>
      <c r="S5" s="3" t="s">
        <v>1625</v>
      </c>
      <c r="T5" s="6" t="s">
        <v>1780</v>
      </c>
      <c r="U5" s="3" t="s">
        <v>1825</v>
      </c>
      <c r="V5" s="3" t="s">
        <v>2433</v>
      </c>
      <c r="W5" s="3" t="s">
        <v>1872</v>
      </c>
      <c r="X5" s="2" t="s">
        <v>1976</v>
      </c>
      <c r="Y5" s="6" t="s">
        <v>2017</v>
      </c>
      <c r="Z5" s="3" t="s">
        <v>2126</v>
      </c>
      <c r="AA5" s="2" t="s">
        <v>2253</v>
      </c>
      <c r="AB5" s="3" t="s">
        <v>2334</v>
      </c>
      <c r="AC5" s="3" t="s">
        <v>2371</v>
      </c>
      <c r="AD5" s="1"/>
      <c r="AE5" s="1"/>
      <c r="AF5" s="1"/>
      <c r="AG5" s="1"/>
      <c r="AI5" s="6" t="s">
        <v>1533</v>
      </c>
    </row>
    <row r="6" spans="1:35" x14ac:dyDescent="0.3">
      <c r="A6" s="7" t="s">
        <v>2465</v>
      </c>
      <c r="B6" s="3" t="s">
        <v>126</v>
      </c>
      <c r="C6" s="3" t="s">
        <v>236</v>
      </c>
      <c r="D6" s="3" t="s">
        <v>330</v>
      </c>
      <c r="E6" s="2" t="s">
        <v>383</v>
      </c>
      <c r="F6" s="3" t="s">
        <v>628</v>
      </c>
      <c r="G6" s="3" t="s">
        <v>672</v>
      </c>
      <c r="H6" s="3" t="s">
        <v>913</v>
      </c>
      <c r="I6" s="3" t="s">
        <v>702</v>
      </c>
      <c r="J6" s="3" t="s">
        <v>728</v>
      </c>
      <c r="K6" s="6" t="s">
        <v>776</v>
      </c>
      <c r="L6" s="3" t="s">
        <v>829</v>
      </c>
      <c r="M6" s="3" t="s">
        <v>1130</v>
      </c>
      <c r="N6" s="2" t="s">
        <v>1266</v>
      </c>
      <c r="O6" s="3" t="s">
        <v>1939</v>
      </c>
      <c r="P6" s="3" t="s">
        <v>1375</v>
      </c>
      <c r="Q6" s="3" t="s">
        <v>2108</v>
      </c>
      <c r="R6" s="3" t="s">
        <v>1712</v>
      </c>
      <c r="S6" s="3" t="s">
        <v>1602</v>
      </c>
      <c r="T6" s="6" t="s">
        <v>1781</v>
      </c>
      <c r="U6" s="2" t="s">
        <v>1811</v>
      </c>
      <c r="V6" s="3" t="s">
        <v>2418</v>
      </c>
      <c r="W6" s="2" t="s">
        <v>1934</v>
      </c>
      <c r="X6" s="2" t="s">
        <v>1990</v>
      </c>
      <c r="Y6" s="6" t="s">
        <v>2050</v>
      </c>
      <c r="Z6" s="6" t="s">
        <v>2177</v>
      </c>
      <c r="AA6" s="2" t="s">
        <v>2232</v>
      </c>
      <c r="AB6" s="6" t="s">
        <v>2343</v>
      </c>
      <c r="AC6" s="3" t="s">
        <v>2366</v>
      </c>
      <c r="AD6" s="1"/>
      <c r="AE6" s="1"/>
      <c r="AF6" s="1"/>
      <c r="AG6" s="1"/>
      <c r="AI6" s="6" t="s">
        <v>1534</v>
      </c>
    </row>
    <row r="7" spans="1:35" x14ac:dyDescent="0.3">
      <c r="A7" s="7" t="s">
        <v>2</v>
      </c>
      <c r="B7" s="3" t="s">
        <v>127</v>
      </c>
      <c r="C7" s="3" t="s">
        <v>237</v>
      </c>
      <c r="D7" s="3" t="s">
        <v>1969</v>
      </c>
      <c r="E7" s="6" t="s">
        <v>384</v>
      </c>
      <c r="F7" s="3" t="s">
        <v>664</v>
      </c>
      <c r="G7" s="3" t="s">
        <v>673</v>
      </c>
      <c r="H7" s="6" t="s">
        <v>914</v>
      </c>
      <c r="I7" s="2" t="s">
        <v>703</v>
      </c>
      <c r="J7" s="2" t="s">
        <v>729</v>
      </c>
      <c r="K7" s="6" t="s">
        <v>777</v>
      </c>
      <c r="L7" s="3" t="s">
        <v>830</v>
      </c>
      <c r="M7" s="3" t="s">
        <v>1163</v>
      </c>
      <c r="N7" s="3" t="s">
        <v>1277</v>
      </c>
      <c r="O7" s="3" t="s">
        <v>1310</v>
      </c>
      <c r="P7" s="3" t="s">
        <v>1366</v>
      </c>
      <c r="Q7" s="3" t="s">
        <v>1451</v>
      </c>
      <c r="R7" s="3" t="s">
        <v>1724</v>
      </c>
      <c r="S7" s="3" t="s">
        <v>1181</v>
      </c>
      <c r="T7" s="6" t="s">
        <v>1759</v>
      </c>
      <c r="U7" s="6" t="s">
        <v>1798</v>
      </c>
      <c r="V7" s="6" t="s">
        <v>2419</v>
      </c>
      <c r="W7" s="2" t="s">
        <v>1897</v>
      </c>
      <c r="X7" s="2" t="s">
        <v>1987</v>
      </c>
      <c r="Y7" s="6" t="s">
        <v>2043</v>
      </c>
      <c r="Z7" s="2" t="s">
        <v>2329</v>
      </c>
      <c r="AA7" s="2" t="s">
        <v>2229</v>
      </c>
      <c r="AB7" s="3" t="s">
        <v>2333</v>
      </c>
      <c r="AC7" s="6" t="s">
        <v>2365</v>
      </c>
      <c r="AD7" s="1"/>
      <c r="AE7" s="1"/>
      <c r="AF7" s="1"/>
      <c r="AG7" s="1"/>
      <c r="AI7" s="6" t="s">
        <v>1535</v>
      </c>
    </row>
    <row r="8" spans="1:35" ht="43.2" x14ac:dyDescent="0.3">
      <c r="A8" s="7" t="s">
        <v>3</v>
      </c>
      <c r="B8" s="3" t="s">
        <v>128</v>
      </c>
      <c r="C8" s="6" t="s">
        <v>597</v>
      </c>
      <c r="D8" s="3" t="s">
        <v>331</v>
      </c>
      <c r="E8" s="2" t="s">
        <v>385</v>
      </c>
      <c r="F8" s="3" t="s">
        <v>645</v>
      </c>
      <c r="G8" s="3" t="s">
        <v>2354</v>
      </c>
      <c r="H8" s="6" t="s">
        <v>915</v>
      </c>
      <c r="I8" s="3" t="s">
        <v>704</v>
      </c>
      <c r="J8" s="3" t="s">
        <v>730</v>
      </c>
      <c r="K8" s="6" t="s">
        <v>1551</v>
      </c>
      <c r="L8" s="3" t="s">
        <v>831</v>
      </c>
      <c r="M8" s="6" t="s">
        <v>1859</v>
      </c>
      <c r="N8" s="2" t="s">
        <v>1554</v>
      </c>
      <c r="O8" s="3" t="s">
        <v>2274</v>
      </c>
      <c r="P8" s="2" t="s">
        <v>2395</v>
      </c>
      <c r="Q8" s="11" t="s">
        <v>2448</v>
      </c>
      <c r="R8" s="3" t="s">
        <v>1693</v>
      </c>
      <c r="S8" s="6" t="s">
        <v>1616</v>
      </c>
      <c r="T8" s="6" t="s">
        <v>1748</v>
      </c>
      <c r="U8" s="2" t="s">
        <v>1844</v>
      </c>
      <c r="V8" s="6" t="s">
        <v>2420</v>
      </c>
      <c r="W8" s="2" t="s">
        <v>1918</v>
      </c>
      <c r="X8" s="2" t="s">
        <v>2001</v>
      </c>
      <c r="Y8" s="6" t="s">
        <v>2073</v>
      </c>
      <c r="Z8" s="6" t="s">
        <v>2117</v>
      </c>
      <c r="AA8" s="2" t="s">
        <v>2204</v>
      </c>
      <c r="AB8" s="6" t="s">
        <v>2337</v>
      </c>
      <c r="AC8" s="6" t="s">
        <v>2356</v>
      </c>
      <c r="AD8" s="1"/>
      <c r="AE8" s="1"/>
      <c r="AF8" s="1"/>
      <c r="AG8" s="1"/>
      <c r="AI8" s="1" t="s">
        <v>1494</v>
      </c>
    </row>
    <row r="9" spans="1:35" x14ac:dyDescent="0.3">
      <c r="A9" s="7" t="s">
        <v>4</v>
      </c>
      <c r="B9" s="3" t="s">
        <v>129</v>
      </c>
      <c r="C9" s="3" t="s">
        <v>238</v>
      </c>
      <c r="D9" s="2" t="s">
        <v>2383</v>
      </c>
      <c r="E9" s="6" t="s">
        <v>386</v>
      </c>
      <c r="F9" s="3" t="s">
        <v>616</v>
      </c>
      <c r="G9" s="2" t="s">
        <v>687</v>
      </c>
      <c r="H9" s="3" t="s">
        <v>916</v>
      </c>
      <c r="I9" s="2" t="s">
        <v>1068</v>
      </c>
      <c r="J9" s="3" t="s">
        <v>731</v>
      </c>
      <c r="K9" s="6" t="s">
        <v>778</v>
      </c>
      <c r="L9" s="2" t="s">
        <v>832</v>
      </c>
      <c r="M9" s="6" t="s">
        <v>2381</v>
      </c>
      <c r="N9" s="2" t="s">
        <v>1248</v>
      </c>
      <c r="O9" s="3" t="s">
        <v>1333</v>
      </c>
      <c r="P9" s="3" t="s">
        <v>2394</v>
      </c>
      <c r="Q9" s="6" t="s">
        <v>1448</v>
      </c>
      <c r="R9" s="2" t="s">
        <v>1711</v>
      </c>
      <c r="S9" s="6" t="s">
        <v>1630</v>
      </c>
      <c r="T9" s="6" t="s">
        <v>1775</v>
      </c>
      <c r="U9" s="3" t="s">
        <v>1796</v>
      </c>
      <c r="V9" s="3" t="s">
        <v>2421</v>
      </c>
      <c r="W9" s="6" t="s">
        <v>1886</v>
      </c>
      <c r="X9" s="2" t="s">
        <v>2002</v>
      </c>
      <c r="Y9" s="6" t="s">
        <v>2055</v>
      </c>
      <c r="Z9" s="2" t="s">
        <v>2162</v>
      </c>
      <c r="AA9" s="2" t="s">
        <v>2233</v>
      </c>
      <c r="AB9" s="6" t="s">
        <v>2346</v>
      </c>
      <c r="AC9" s="6" t="s">
        <v>2369</v>
      </c>
      <c r="AD9" s="1"/>
      <c r="AE9" s="1"/>
      <c r="AF9" s="1"/>
      <c r="AG9" s="1"/>
      <c r="AI9" s="1" t="s">
        <v>1511</v>
      </c>
    </row>
    <row r="10" spans="1:35" x14ac:dyDescent="0.3">
      <c r="A10" s="7" t="s">
        <v>5</v>
      </c>
      <c r="B10" s="3" t="s">
        <v>130</v>
      </c>
      <c r="C10" s="3" t="s">
        <v>239</v>
      </c>
      <c r="D10" s="3" t="s">
        <v>332</v>
      </c>
      <c r="E10" s="6" t="s">
        <v>387</v>
      </c>
      <c r="F10" s="3" t="s">
        <v>641</v>
      </c>
      <c r="G10" s="2" t="s">
        <v>693</v>
      </c>
      <c r="H10" s="6" t="s">
        <v>917</v>
      </c>
      <c r="I10" s="3" t="s">
        <v>705</v>
      </c>
      <c r="J10" s="6" t="s">
        <v>732</v>
      </c>
      <c r="K10" s="6" t="s">
        <v>779</v>
      </c>
      <c r="L10" s="3" t="s">
        <v>833</v>
      </c>
      <c r="M10" s="5" t="s">
        <v>2189</v>
      </c>
      <c r="N10" s="6" t="s">
        <v>1297</v>
      </c>
      <c r="O10" s="3" t="s">
        <v>1322</v>
      </c>
      <c r="P10" s="3" t="s">
        <v>1396</v>
      </c>
      <c r="Q10" s="2" t="s">
        <v>1454</v>
      </c>
      <c r="R10" s="3" t="s">
        <v>1156</v>
      </c>
      <c r="S10" s="3" t="s">
        <v>1637</v>
      </c>
      <c r="T10" s="2" t="s">
        <v>1768</v>
      </c>
      <c r="U10" s="2" t="s">
        <v>1838</v>
      </c>
      <c r="V10" s="6" t="s">
        <v>2422</v>
      </c>
      <c r="W10" s="2" t="s">
        <v>1933</v>
      </c>
      <c r="X10" s="2" t="s">
        <v>1978</v>
      </c>
      <c r="Y10" s="6" t="s">
        <v>2075</v>
      </c>
      <c r="Z10" s="6" t="s">
        <v>2140</v>
      </c>
      <c r="AA10" s="2" t="s">
        <v>2197</v>
      </c>
      <c r="AB10" s="6" t="s">
        <v>2342</v>
      </c>
      <c r="AC10" s="6" t="s">
        <v>2359</v>
      </c>
      <c r="AD10" s="1"/>
      <c r="AE10" s="1"/>
      <c r="AF10" s="1"/>
      <c r="AG10" s="1"/>
      <c r="AI10" s="1" t="s">
        <v>1493</v>
      </c>
    </row>
    <row r="11" spans="1:35" x14ac:dyDescent="0.3">
      <c r="A11" s="7" t="s">
        <v>6</v>
      </c>
      <c r="B11" s="3" t="s">
        <v>187</v>
      </c>
      <c r="C11" s="3" t="s">
        <v>240</v>
      </c>
      <c r="D11" s="2" t="s">
        <v>2382</v>
      </c>
      <c r="E11" s="2" t="s">
        <v>388</v>
      </c>
      <c r="F11" s="6" t="s">
        <v>636</v>
      </c>
      <c r="G11" s="3" t="s">
        <v>674</v>
      </c>
      <c r="H11" s="3" t="s">
        <v>918</v>
      </c>
      <c r="I11" s="2" t="s">
        <v>706</v>
      </c>
      <c r="J11" s="3" t="s">
        <v>733</v>
      </c>
      <c r="K11" s="6" t="s">
        <v>780</v>
      </c>
      <c r="L11" s="2" t="s">
        <v>834</v>
      </c>
      <c r="M11" s="3" t="s">
        <v>1203</v>
      </c>
      <c r="N11" s="6" t="s">
        <v>1286</v>
      </c>
      <c r="O11" s="3" t="s">
        <v>1327</v>
      </c>
      <c r="P11" s="3" t="s">
        <v>1361</v>
      </c>
      <c r="Q11" s="3" t="s">
        <v>1432</v>
      </c>
      <c r="R11" s="2" t="s">
        <v>1680</v>
      </c>
      <c r="S11" s="6" t="s">
        <v>1654</v>
      </c>
      <c r="T11" s="6" t="s">
        <v>1769</v>
      </c>
      <c r="U11" s="3" t="s">
        <v>2412</v>
      </c>
      <c r="V11" s="6" t="s">
        <v>2423</v>
      </c>
      <c r="W11" s="2" t="s">
        <v>1923</v>
      </c>
      <c r="X11" s="2" t="s">
        <v>1993</v>
      </c>
      <c r="Y11" s="6" t="s">
        <v>2072</v>
      </c>
      <c r="Z11" s="3" t="s">
        <v>2176</v>
      </c>
      <c r="AA11" s="2" t="s">
        <v>2250</v>
      </c>
      <c r="AB11" s="6" t="s">
        <v>2345</v>
      </c>
      <c r="AC11" s="6" t="s">
        <v>2361</v>
      </c>
      <c r="AD11" s="1"/>
      <c r="AE11" s="1"/>
      <c r="AF11" s="1"/>
      <c r="AG11" s="1"/>
      <c r="AI11" s="6" t="s">
        <v>1536</v>
      </c>
    </row>
    <row r="12" spans="1:35" x14ac:dyDescent="0.3">
      <c r="A12" s="7" t="s">
        <v>7</v>
      </c>
      <c r="B12" s="3" t="s">
        <v>131</v>
      </c>
      <c r="C12" s="3" t="s">
        <v>241</v>
      </c>
      <c r="D12" s="3" t="s">
        <v>333</v>
      </c>
      <c r="E12" s="2" t="s">
        <v>389</v>
      </c>
      <c r="F12" s="3" t="s">
        <v>373</v>
      </c>
      <c r="G12" s="2" t="s">
        <v>2353</v>
      </c>
      <c r="H12" s="3" t="s">
        <v>919</v>
      </c>
      <c r="I12" s="3" t="s">
        <v>1059</v>
      </c>
      <c r="J12" s="6" t="s">
        <v>734</v>
      </c>
      <c r="K12" s="3" t="s">
        <v>781</v>
      </c>
      <c r="L12" s="2" t="s">
        <v>835</v>
      </c>
      <c r="M12" s="3" t="s">
        <v>1860</v>
      </c>
      <c r="N12" s="6" t="s">
        <v>1556</v>
      </c>
      <c r="O12" s="3" t="s">
        <v>1349</v>
      </c>
      <c r="P12" s="3" t="s">
        <v>1360</v>
      </c>
      <c r="Q12" s="3" t="s">
        <v>1431</v>
      </c>
      <c r="R12" s="3" t="s">
        <v>409</v>
      </c>
      <c r="S12" s="6" t="s">
        <v>1635</v>
      </c>
      <c r="T12" s="2" t="s">
        <v>1788</v>
      </c>
      <c r="U12" s="6" t="s">
        <v>1842</v>
      </c>
      <c r="V12" s="6" t="s">
        <v>2424</v>
      </c>
      <c r="W12" s="2" t="s">
        <v>1894</v>
      </c>
      <c r="X12" s="2" t="s">
        <v>1973</v>
      </c>
      <c r="Y12" s="6" t="s">
        <v>2045</v>
      </c>
      <c r="Z12" s="2" t="s">
        <v>2159</v>
      </c>
      <c r="AA12" s="2" t="s">
        <v>2236</v>
      </c>
      <c r="AB12" s="6" t="s">
        <v>2335</v>
      </c>
      <c r="AC12" s="6" t="s">
        <v>2370</v>
      </c>
      <c r="AD12" s="1"/>
      <c r="AE12" s="1"/>
      <c r="AF12" s="1"/>
      <c r="AG12" s="1"/>
      <c r="AI12" s="6" t="s">
        <v>1537</v>
      </c>
    </row>
    <row r="13" spans="1:35" x14ac:dyDescent="0.3">
      <c r="A13" s="7" t="s">
        <v>2467</v>
      </c>
      <c r="B13" s="3" t="s">
        <v>188</v>
      </c>
      <c r="C13" s="3" t="s">
        <v>242</v>
      </c>
      <c r="D13" s="3" t="s">
        <v>334</v>
      </c>
      <c r="E13" s="6" t="s">
        <v>390</v>
      </c>
      <c r="F13" s="3" t="s">
        <v>651</v>
      </c>
      <c r="G13" s="3" t="s">
        <v>675</v>
      </c>
      <c r="H13" s="3" t="s">
        <v>920</v>
      </c>
      <c r="I13" s="3" t="s">
        <v>1057</v>
      </c>
      <c r="J13" s="3" t="s">
        <v>735</v>
      </c>
      <c r="K13" s="6" t="s">
        <v>782</v>
      </c>
      <c r="L13" s="3" t="s">
        <v>836</v>
      </c>
      <c r="M13" s="6" t="s">
        <v>1118</v>
      </c>
      <c r="N13" s="6" t="s">
        <v>1271</v>
      </c>
      <c r="O13" s="3" t="s">
        <v>2270</v>
      </c>
      <c r="P13" s="3" t="s">
        <v>1364</v>
      </c>
      <c r="Q13" s="3" t="s">
        <v>1422</v>
      </c>
      <c r="R13" s="3" t="s">
        <v>1725</v>
      </c>
      <c r="S13" s="6" t="s">
        <v>1657</v>
      </c>
      <c r="T13" s="2" t="s">
        <v>1761</v>
      </c>
      <c r="U13" s="2" t="s">
        <v>1801</v>
      </c>
      <c r="V13" s="6" t="s">
        <v>2425</v>
      </c>
      <c r="W13" s="6" t="s">
        <v>1869</v>
      </c>
      <c r="X13" s="2" t="s">
        <v>1980</v>
      </c>
      <c r="Y13" s="6" t="s">
        <v>2056</v>
      </c>
      <c r="Z13" s="2" t="s">
        <v>2321</v>
      </c>
      <c r="AA13" s="2" t="s">
        <v>2207</v>
      </c>
      <c r="AB13" s="6" t="s">
        <v>2339</v>
      </c>
      <c r="AC13" s="3" t="s">
        <v>2364</v>
      </c>
      <c r="AD13" s="1"/>
      <c r="AE13" s="1"/>
      <c r="AF13" s="1"/>
      <c r="AG13" s="1"/>
      <c r="AI13" s="1" t="s">
        <v>1523</v>
      </c>
    </row>
    <row r="14" spans="1:35" x14ac:dyDescent="0.3">
      <c r="A14" s="7" t="s">
        <v>8</v>
      </c>
      <c r="B14" s="3" t="s">
        <v>1236</v>
      </c>
      <c r="C14" s="3" t="s">
        <v>243</v>
      </c>
      <c r="D14" s="3" t="s">
        <v>335</v>
      </c>
      <c r="E14" s="3" t="s">
        <v>391</v>
      </c>
      <c r="F14" s="3" t="s">
        <v>627</v>
      </c>
      <c r="G14" s="2" t="s">
        <v>686</v>
      </c>
      <c r="H14" s="3" t="s">
        <v>921</v>
      </c>
      <c r="I14" s="6" t="s">
        <v>1060</v>
      </c>
      <c r="J14" s="6" t="s">
        <v>736</v>
      </c>
      <c r="K14" s="3" t="s">
        <v>2009</v>
      </c>
      <c r="L14" s="3" t="s">
        <v>837</v>
      </c>
      <c r="M14" s="3" t="s">
        <v>1135</v>
      </c>
      <c r="N14" s="6" t="s">
        <v>1298</v>
      </c>
      <c r="O14" s="3" t="s">
        <v>1350</v>
      </c>
      <c r="P14" s="3" t="s">
        <v>1359</v>
      </c>
      <c r="Q14" s="3" t="s">
        <v>1468</v>
      </c>
      <c r="R14" s="6" t="s">
        <v>1708</v>
      </c>
      <c r="S14" s="6" t="s">
        <v>1634</v>
      </c>
      <c r="T14" s="6" t="s">
        <v>1745</v>
      </c>
      <c r="U14" s="2" t="s">
        <v>2406</v>
      </c>
      <c r="V14" s="3" t="s">
        <v>2441</v>
      </c>
      <c r="W14" s="6" t="s">
        <v>1915</v>
      </c>
      <c r="X14" s="2" t="s">
        <v>1986</v>
      </c>
      <c r="Y14" s="6" t="s">
        <v>2070</v>
      </c>
      <c r="Z14" s="2" t="s">
        <v>2149</v>
      </c>
      <c r="AA14" s="2" t="s">
        <v>2251</v>
      </c>
      <c r="AB14" s="6" t="s">
        <v>2341</v>
      </c>
      <c r="AC14" s="6" t="s">
        <v>2374</v>
      </c>
      <c r="AD14" s="1"/>
      <c r="AE14" s="1"/>
      <c r="AF14" s="1"/>
      <c r="AG14" s="1"/>
      <c r="AI14" s="1" t="s">
        <v>1513</v>
      </c>
    </row>
    <row r="15" spans="1:35" x14ac:dyDescent="0.3">
      <c r="A15" s="7" t="s">
        <v>9</v>
      </c>
      <c r="B15" s="3" t="s">
        <v>132</v>
      </c>
      <c r="C15" s="3" t="s">
        <v>244</v>
      </c>
      <c r="D15" s="3" t="s">
        <v>336</v>
      </c>
      <c r="E15" s="6" t="s">
        <v>392</v>
      </c>
      <c r="F15" s="6" t="s">
        <v>633</v>
      </c>
      <c r="G15" s="3" t="s">
        <v>676</v>
      </c>
      <c r="H15" s="2" t="s">
        <v>922</v>
      </c>
      <c r="I15" s="3" t="s">
        <v>707</v>
      </c>
      <c r="J15" s="6" t="s">
        <v>737</v>
      </c>
      <c r="K15" s="6" t="s">
        <v>783</v>
      </c>
      <c r="L15" s="2" t="s">
        <v>838</v>
      </c>
      <c r="M15" s="3" t="s">
        <v>1109</v>
      </c>
      <c r="N15" s="3" t="s">
        <v>1269</v>
      </c>
      <c r="O15" s="3" t="s">
        <v>1940</v>
      </c>
      <c r="P15" s="3" t="s">
        <v>1402</v>
      </c>
      <c r="Q15" s="3" t="s">
        <v>2402</v>
      </c>
      <c r="R15" s="2" t="s">
        <v>1703</v>
      </c>
      <c r="S15" s="6" t="s">
        <v>1578</v>
      </c>
      <c r="T15" s="6" t="s">
        <v>1767</v>
      </c>
      <c r="U15" s="3" t="s">
        <v>1824</v>
      </c>
      <c r="V15" s="3" t="s">
        <v>2449</v>
      </c>
      <c r="W15" s="6" t="s">
        <v>1875</v>
      </c>
      <c r="X15" s="2" t="s">
        <v>1981</v>
      </c>
      <c r="Y15" s="6" t="s">
        <v>2022</v>
      </c>
      <c r="Z15" s="2" t="s">
        <v>2132</v>
      </c>
      <c r="AA15" s="2" t="s">
        <v>2225</v>
      </c>
      <c r="AB15" s="6" t="s">
        <v>2349</v>
      </c>
      <c r="AC15" s="6" t="s">
        <v>2372</v>
      </c>
      <c r="AD15" s="1"/>
      <c r="AE15" s="1"/>
      <c r="AF15" s="1"/>
      <c r="AG15" s="1"/>
      <c r="AI15" s="1" t="s">
        <v>1518</v>
      </c>
    </row>
    <row r="16" spans="1:35" x14ac:dyDescent="0.3">
      <c r="A16" s="7" t="s">
        <v>10</v>
      </c>
      <c r="B16" s="3" t="s">
        <v>189</v>
      </c>
      <c r="C16" s="3" t="s">
        <v>245</v>
      </c>
      <c r="D16" s="3" t="s">
        <v>337</v>
      </c>
      <c r="E16" s="3" t="s">
        <v>393</v>
      </c>
      <c r="F16" s="3" t="s">
        <v>649</v>
      </c>
      <c r="G16" s="3" t="s">
        <v>677</v>
      </c>
      <c r="H16" s="3" t="s">
        <v>923</v>
      </c>
      <c r="I16" s="2" t="s">
        <v>696</v>
      </c>
      <c r="J16" s="6" t="s">
        <v>738</v>
      </c>
      <c r="K16" s="6" t="s">
        <v>784</v>
      </c>
      <c r="L16" s="3" t="s">
        <v>839</v>
      </c>
      <c r="M16" s="3" t="s">
        <v>1181</v>
      </c>
      <c r="N16" s="6" t="s">
        <v>1557</v>
      </c>
      <c r="O16" s="3" t="s">
        <v>1334</v>
      </c>
      <c r="P16" s="3" t="s">
        <v>1380</v>
      </c>
      <c r="Q16" s="3" t="s">
        <v>1437</v>
      </c>
      <c r="R16" s="3" t="s">
        <v>1717</v>
      </c>
      <c r="S16" s="6" t="s">
        <v>1593</v>
      </c>
      <c r="T16" s="2" t="s">
        <v>1751</v>
      </c>
      <c r="U16" s="3" t="s">
        <v>1814</v>
      </c>
      <c r="V16" s="3" t="s">
        <v>2460</v>
      </c>
      <c r="W16" s="2" t="s">
        <v>1878</v>
      </c>
      <c r="X16" s="2" t="s">
        <v>1996</v>
      </c>
      <c r="Y16" s="6" t="s">
        <v>2062</v>
      </c>
      <c r="Z16" s="2" t="s">
        <v>2136</v>
      </c>
      <c r="AA16" s="2" t="s">
        <v>2241</v>
      </c>
      <c r="AB16" s="6" t="s">
        <v>2340</v>
      </c>
      <c r="AC16" s="6" t="s">
        <v>2362</v>
      </c>
      <c r="AD16" s="1"/>
      <c r="AE16" s="1"/>
      <c r="AF16" s="1"/>
      <c r="AG16" s="1"/>
      <c r="AI16" s="6" t="s">
        <v>1538</v>
      </c>
    </row>
    <row r="17" spans="1:35" x14ac:dyDescent="0.3">
      <c r="A17" s="7" t="s">
        <v>11</v>
      </c>
      <c r="B17" s="3" t="s">
        <v>190</v>
      </c>
      <c r="C17" s="3" t="s">
        <v>246</v>
      </c>
      <c r="D17" s="3" t="s">
        <v>373</v>
      </c>
      <c r="E17" s="3" t="s">
        <v>394</v>
      </c>
      <c r="F17" s="3" t="s">
        <v>646</v>
      </c>
      <c r="G17" s="3" t="s">
        <v>678</v>
      </c>
      <c r="H17" s="3" t="s">
        <v>924</v>
      </c>
      <c r="I17" s="3" t="s">
        <v>708</v>
      </c>
      <c r="J17" s="2" t="s">
        <v>739</v>
      </c>
      <c r="K17" s="6" t="s">
        <v>785</v>
      </c>
      <c r="L17" s="2" t="s">
        <v>1552</v>
      </c>
      <c r="M17" s="3" t="s">
        <v>1105</v>
      </c>
      <c r="N17" s="6" t="s">
        <v>1558</v>
      </c>
      <c r="O17" s="3" t="s">
        <v>1324</v>
      </c>
      <c r="P17" s="3" t="s">
        <v>1392</v>
      </c>
      <c r="Q17" s="3" t="s">
        <v>1528</v>
      </c>
      <c r="R17" s="2" t="s">
        <v>1858</v>
      </c>
      <c r="S17" s="6" t="s">
        <v>1642</v>
      </c>
      <c r="T17" s="6" t="s">
        <v>2008</v>
      </c>
      <c r="U17" s="3" t="s">
        <v>1823</v>
      </c>
      <c r="V17" s="3" t="s">
        <v>2442</v>
      </c>
      <c r="W17" s="2" t="s">
        <v>1882</v>
      </c>
      <c r="X17" s="2" t="s">
        <v>1983</v>
      </c>
      <c r="Y17" s="6" t="s">
        <v>2063</v>
      </c>
      <c r="Z17" s="6" t="s">
        <v>2279</v>
      </c>
      <c r="AA17" s="2" t="s">
        <v>2217</v>
      </c>
      <c r="AB17" s="6" t="s">
        <v>2344</v>
      </c>
      <c r="AC17" s="6" t="s">
        <v>2357</v>
      </c>
      <c r="AD17" s="1"/>
      <c r="AE17" s="1"/>
      <c r="AF17" s="1"/>
      <c r="AG17" s="1"/>
      <c r="AI17" s="6" t="s">
        <v>1539</v>
      </c>
    </row>
    <row r="18" spans="1:35" x14ac:dyDescent="0.3">
      <c r="A18" s="7" t="s">
        <v>12</v>
      </c>
      <c r="B18" s="3" t="s">
        <v>133</v>
      </c>
      <c r="C18" s="3" t="s">
        <v>247</v>
      </c>
      <c r="D18" s="2" t="s">
        <v>2391</v>
      </c>
      <c r="E18" s="2" t="s">
        <v>395</v>
      </c>
      <c r="F18" s="6" t="s">
        <v>657</v>
      </c>
      <c r="G18" s="2" t="s">
        <v>689</v>
      </c>
      <c r="H18" s="6" t="s">
        <v>925</v>
      </c>
      <c r="I18" s="2" t="s">
        <v>968</v>
      </c>
      <c r="J18" s="2" t="s">
        <v>740</v>
      </c>
      <c r="K18" s="6" t="s">
        <v>786</v>
      </c>
      <c r="L18" s="6" t="s">
        <v>840</v>
      </c>
      <c r="M18" s="3" t="s">
        <v>1961</v>
      </c>
      <c r="N18" s="6" t="s">
        <v>1559</v>
      </c>
      <c r="O18" s="3" t="s">
        <v>2271</v>
      </c>
      <c r="P18" s="3" t="s">
        <v>1666</v>
      </c>
      <c r="Q18" s="6" t="s">
        <v>1447</v>
      </c>
      <c r="R18" s="2" t="s">
        <v>1694</v>
      </c>
      <c r="S18" s="6" t="s">
        <v>1583</v>
      </c>
      <c r="T18" s="6" t="s">
        <v>1755</v>
      </c>
      <c r="U18" s="2" t="s">
        <v>1795</v>
      </c>
      <c r="V18" s="3" t="s">
        <v>2443</v>
      </c>
      <c r="W18" s="2" t="s">
        <v>1866</v>
      </c>
      <c r="X18" s="2" t="s">
        <v>1999</v>
      </c>
      <c r="Y18" s="6" t="s">
        <v>2069</v>
      </c>
      <c r="Z18" s="2" t="s">
        <v>2120</v>
      </c>
      <c r="AA18" s="2" t="s">
        <v>1968</v>
      </c>
      <c r="AB18" s="6" t="s">
        <v>2348</v>
      </c>
      <c r="AC18" s="6" t="s">
        <v>2360</v>
      </c>
      <c r="AD18" s="1"/>
      <c r="AE18" s="1"/>
      <c r="AF18" s="1"/>
      <c r="AG18" s="1"/>
      <c r="AI18" s="6" t="s">
        <v>1540</v>
      </c>
    </row>
    <row r="19" spans="1:35" x14ac:dyDescent="0.3">
      <c r="A19" s="7" t="s">
        <v>2468</v>
      </c>
      <c r="B19" s="3" t="s">
        <v>134</v>
      </c>
      <c r="C19" s="3" t="s">
        <v>248</v>
      </c>
      <c r="D19" s="6" t="s">
        <v>338</v>
      </c>
      <c r="E19" s="3" t="s">
        <v>396</v>
      </c>
      <c r="F19" s="6" t="s">
        <v>614</v>
      </c>
      <c r="G19" s="3" t="s">
        <v>679</v>
      </c>
      <c r="H19" s="2" t="s">
        <v>926</v>
      </c>
      <c r="I19" s="6" t="s">
        <v>1062</v>
      </c>
      <c r="J19" s="6" t="s">
        <v>741</v>
      </c>
      <c r="K19" s="6" t="s">
        <v>787</v>
      </c>
      <c r="L19" s="3" t="s">
        <v>841</v>
      </c>
      <c r="M19" s="6" t="s">
        <v>1201</v>
      </c>
      <c r="N19" s="6" t="s">
        <v>1257</v>
      </c>
      <c r="O19" s="3" t="s">
        <v>1353</v>
      </c>
      <c r="P19" s="3" t="s">
        <v>1397</v>
      </c>
      <c r="Q19" s="6" t="s">
        <v>1457</v>
      </c>
      <c r="R19" s="2" t="s">
        <v>1719</v>
      </c>
      <c r="S19" s="6" t="s">
        <v>1580</v>
      </c>
      <c r="T19" s="6" t="s">
        <v>1772</v>
      </c>
      <c r="U19" s="3" t="s">
        <v>1819</v>
      </c>
      <c r="V19" s="3" t="s">
        <v>2444</v>
      </c>
      <c r="W19" s="2" t="s">
        <v>1873</v>
      </c>
      <c r="X19" s="2" t="s">
        <v>1629</v>
      </c>
      <c r="Y19" s="6" t="s">
        <v>2071</v>
      </c>
      <c r="Z19" s="2" t="s">
        <v>2123</v>
      </c>
      <c r="AA19" s="2" t="s">
        <v>2248</v>
      </c>
      <c r="AB19" s="6" t="s">
        <v>2338</v>
      </c>
      <c r="AC19" s="6" t="s">
        <v>2368</v>
      </c>
      <c r="AD19" s="1"/>
      <c r="AE19" s="1"/>
      <c r="AF19" s="1"/>
      <c r="AG19" s="1"/>
      <c r="AI19" s="6" t="s">
        <v>1541</v>
      </c>
    </row>
    <row r="20" spans="1:35" x14ac:dyDescent="0.3">
      <c r="A20" s="3" t="s">
        <v>1486</v>
      </c>
      <c r="B20" s="3" t="s">
        <v>135</v>
      </c>
      <c r="C20" s="6" t="s">
        <v>249</v>
      </c>
      <c r="D20" s="3" t="s">
        <v>339</v>
      </c>
      <c r="E20" s="2" t="s">
        <v>397</v>
      </c>
      <c r="F20" s="6" t="s">
        <v>2103</v>
      </c>
      <c r="G20" s="2" t="s">
        <v>2355</v>
      </c>
      <c r="H20" s="2" t="s">
        <v>927</v>
      </c>
      <c r="I20" s="6" t="s">
        <v>1064</v>
      </c>
      <c r="J20" s="6" t="s">
        <v>742</v>
      </c>
      <c r="K20" s="6" t="s">
        <v>788</v>
      </c>
      <c r="L20" s="2" t="s">
        <v>842</v>
      </c>
      <c r="M20" s="6" t="s">
        <v>1186</v>
      </c>
      <c r="N20" s="6" t="s">
        <v>1281</v>
      </c>
      <c r="O20" s="3" t="s">
        <v>1331</v>
      </c>
      <c r="P20" s="3" t="s">
        <v>1381</v>
      </c>
      <c r="Q20" s="3" t="s">
        <v>646</v>
      </c>
      <c r="R20" s="3" t="s">
        <v>1738</v>
      </c>
      <c r="S20" s="6" t="s">
        <v>1572</v>
      </c>
      <c r="T20" s="2" t="s">
        <v>1760</v>
      </c>
      <c r="U20" s="6" t="s">
        <v>2110</v>
      </c>
      <c r="V20" s="3" t="s">
        <v>2452</v>
      </c>
      <c r="W20" s="2" t="s">
        <v>1925</v>
      </c>
      <c r="X20" s="2" t="s">
        <v>1974</v>
      </c>
      <c r="Y20" s="6" t="s">
        <v>2083</v>
      </c>
      <c r="Z20" s="2" t="s">
        <v>2125</v>
      </c>
      <c r="AA20" s="2" t="s">
        <v>2228</v>
      </c>
      <c r="AB20" s="6" t="s">
        <v>2375</v>
      </c>
      <c r="AC20" s="6" t="s">
        <v>2373</v>
      </c>
      <c r="AD20" s="1"/>
      <c r="AE20" s="1"/>
      <c r="AF20" s="1"/>
      <c r="AG20" s="1"/>
      <c r="AI20" s="6" t="s">
        <v>1542</v>
      </c>
    </row>
    <row r="21" spans="1:35" ht="43.2" x14ac:dyDescent="0.3">
      <c r="A21" s="7" t="s">
        <v>13</v>
      </c>
      <c r="B21" s="3" t="s">
        <v>191</v>
      </c>
      <c r="C21" s="3" t="s">
        <v>250</v>
      </c>
      <c r="D21" s="3" t="s">
        <v>340</v>
      </c>
      <c r="E21" s="6" t="s">
        <v>398</v>
      </c>
      <c r="F21" s="6" t="s">
        <v>637</v>
      </c>
      <c r="G21" s="3" t="s">
        <v>680</v>
      </c>
      <c r="H21" s="3" t="s">
        <v>928</v>
      </c>
      <c r="I21" s="3" t="s">
        <v>709</v>
      </c>
      <c r="J21" s="6" t="s">
        <v>743</v>
      </c>
      <c r="K21" s="6" t="s">
        <v>789</v>
      </c>
      <c r="L21" s="3" t="s">
        <v>843</v>
      </c>
      <c r="M21" s="6" t="s">
        <v>1947</v>
      </c>
      <c r="N21" s="6" t="s">
        <v>1285</v>
      </c>
      <c r="O21" s="3" t="s">
        <v>1338</v>
      </c>
      <c r="P21" s="3" t="s">
        <v>1385</v>
      </c>
      <c r="Q21" s="3" t="s">
        <v>2109</v>
      </c>
      <c r="R21" s="3" t="s">
        <v>1701</v>
      </c>
      <c r="S21" s="6" t="s">
        <v>1619</v>
      </c>
      <c r="T21" s="6" t="s">
        <v>1750</v>
      </c>
      <c r="U21" s="3" t="s">
        <v>1799</v>
      </c>
      <c r="V21" s="13" t="s">
        <v>2451</v>
      </c>
      <c r="W21" s="6" t="s">
        <v>1879</v>
      </c>
      <c r="X21" s="2" t="s">
        <v>1994</v>
      </c>
      <c r="Y21" s="6" t="s">
        <v>2046</v>
      </c>
      <c r="Z21" s="2" t="s">
        <v>2147</v>
      </c>
      <c r="AA21" s="2" t="s">
        <v>2203</v>
      </c>
      <c r="AB21" s="1"/>
      <c r="AC21" s="6" t="s">
        <v>2367</v>
      </c>
      <c r="AD21" s="1"/>
      <c r="AE21" s="1"/>
      <c r="AF21" s="1"/>
      <c r="AG21" s="1"/>
      <c r="AI21" s="1" t="s">
        <v>1492</v>
      </c>
    </row>
    <row r="22" spans="1:35" ht="43.2" x14ac:dyDescent="0.3">
      <c r="A22" s="7" t="s">
        <v>14</v>
      </c>
      <c r="B22" s="3" t="s">
        <v>136</v>
      </c>
      <c r="C22" s="3" t="s">
        <v>251</v>
      </c>
      <c r="D22" s="3" t="s">
        <v>341</v>
      </c>
      <c r="E22" s="2" t="s">
        <v>399</v>
      </c>
      <c r="F22" s="6" t="s">
        <v>653</v>
      </c>
      <c r="G22" s="2" t="s">
        <v>681</v>
      </c>
      <c r="H22" s="6" t="s">
        <v>929</v>
      </c>
      <c r="I22" s="2" t="s">
        <v>710</v>
      </c>
      <c r="J22" s="6" t="s">
        <v>274</v>
      </c>
      <c r="K22" s="6" t="s">
        <v>741</v>
      </c>
      <c r="L22" s="2" t="s">
        <v>844</v>
      </c>
      <c r="M22" s="6" t="s">
        <v>1160</v>
      </c>
      <c r="N22" s="2" t="s">
        <v>1555</v>
      </c>
      <c r="O22" s="3" t="s">
        <v>1308</v>
      </c>
      <c r="P22" s="3" t="s">
        <v>1371</v>
      </c>
      <c r="Q22" s="3" t="s">
        <v>1443</v>
      </c>
      <c r="R22" s="2" t="s">
        <v>1690</v>
      </c>
      <c r="S22" s="6" t="s">
        <v>1662</v>
      </c>
      <c r="T22" s="6" t="s">
        <v>1758</v>
      </c>
      <c r="U22" s="3" t="s">
        <v>1792</v>
      </c>
      <c r="V22" s="12" t="s">
        <v>2450</v>
      </c>
      <c r="W22" s="6" t="s">
        <v>1892</v>
      </c>
      <c r="X22" s="2" t="s">
        <v>1991</v>
      </c>
      <c r="Y22" s="6" t="s">
        <v>2044</v>
      </c>
      <c r="Z22" s="2" t="s">
        <v>2141</v>
      </c>
      <c r="AA22" s="2" t="s">
        <v>2199</v>
      </c>
      <c r="AB22" s="1"/>
      <c r="AC22" s="1"/>
      <c r="AD22" s="1"/>
      <c r="AE22" s="1"/>
      <c r="AF22" s="1"/>
      <c r="AG22" s="1"/>
      <c r="AI22" s="1" t="s">
        <v>1510</v>
      </c>
    </row>
    <row r="23" spans="1:35" x14ac:dyDescent="0.3">
      <c r="A23" s="7" t="s">
        <v>2113</v>
      </c>
      <c r="B23" s="3" t="s">
        <v>137</v>
      </c>
      <c r="C23" s="3" t="s">
        <v>252</v>
      </c>
      <c r="D23" s="3" t="s">
        <v>342</v>
      </c>
      <c r="E23" s="6" t="s">
        <v>400</v>
      </c>
      <c r="F23" s="2" t="s">
        <v>608</v>
      </c>
      <c r="G23" s="2" t="s">
        <v>682</v>
      </c>
      <c r="H23" s="6" t="s">
        <v>930</v>
      </c>
      <c r="I23" s="3" t="s">
        <v>711</v>
      </c>
      <c r="J23" s="6" t="s">
        <v>744</v>
      </c>
      <c r="K23" s="6" t="s">
        <v>790</v>
      </c>
      <c r="L23" s="2" t="s">
        <v>845</v>
      </c>
      <c r="M23" s="3" t="s">
        <v>1139</v>
      </c>
      <c r="N23" s="3" t="s">
        <v>1303</v>
      </c>
      <c r="O23" s="3" t="s">
        <v>1348</v>
      </c>
      <c r="P23" s="3" t="s">
        <v>1406</v>
      </c>
      <c r="Q23" s="2" t="s">
        <v>1469</v>
      </c>
      <c r="R23" s="3" t="s">
        <v>1713</v>
      </c>
      <c r="S23" s="6" t="s">
        <v>1633</v>
      </c>
      <c r="T23" s="2" t="s">
        <v>1779</v>
      </c>
      <c r="U23" s="2" t="s">
        <v>1822</v>
      </c>
      <c r="V23" s="6" t="s">
        <v>2445</v>
      </c>
      <c r="W23" s="6" t="s">
        <v>1629</v>
      </c>
      <c r="X23" s="2" t="s">
        <v>1982</v>
      </c>
      <c r="Y23" s="6" t="s">
        <v>2093</v>
      </c>
      <c r="Z23" s="2" t="s">
        <v>2137</v>
      </c>
      <c r="AA23" s="2" t="s">
        <v>2215</v>
      </c>
      <c r="AB23" s="1"/>
      <c r="AC23" s="1"/>
      <c r="AD23" s="1"/>
      <c r="AE23" s="1"/>
      <c r="AF23" s="1"/>
      <c r="AG23" s="1"/>
      <c r="AI23" s="1" t="s">
        <v>1507</v>
      </c>
    </row>
    <row r="24" spans="1:35" x14ac:dyDescent="0.3">
      <c r="A24" s="7" t="s">
        <v>15</v>
      </c>
      <c r="B24" s="3" t="s">
        <v>138</v>
      </c>
      <c r="C24" s="3" t="s">
        <v>253</v>
      </c>
      <c r="D24" s="2" t="s">
        <v>2384</v>
      </c>
      <c r="E24" s="2" t="s">
        <v>401</v>
      </c>
      <c r="F24" s="3" t="s">
        <v>669</v>
      </c>
      <c r="G24" s="2" t="s">
        <v>691</v>
      </c>
      <c r="H24" s="6" t="s">
        <v>931</v>
      </c>
      <c r="I24" s="3" t="s">
        <v>712</v>
      </c>
      <c r="J24" s="2" t="s">
        <v>745</v>
      </c>
      <c r="K24" s="6" t="s">
        <v>2011</v>
      </c>
      <c r="L24" s="3" t="s">
        <v>846</v>
      </c>
      <c r="M24" s="3" t="s">
        <v>1107</v>
      </c>
      <c r="N24" s="2" t="s">
        <v>1245</v>
      </c>
      <c r="O24" s="3" t="s">
        <v>1342</v>
      </c>
      <c r="P24" s="3" t="s">
        <v>1386</v>
      </c>
      <c r="Q24" s="3" t="s">
        <v>1446</v>
      </c>
      <c r="R24" s="3" t="s">
        <v>1720</v>
      </c>
      <c r="S24" s="6" t="s">
        <v>1647</v>
      </c>
      <c r="T24" s="2" t="s">
        <v>1766</v>
      </c>
      <c r="U24" s="6" t="s">
        <v>2277</v>
      </c>
      <c r="V24" s="2" t="s">
        <v>2440</v>
      </c>
      <c r="W24" s="6" t="s">
        <v>1867</v>
      </c>
      <c r="X24" s="2" t="s">
        <v>2005</v>
      </c>
      <c r="Y24" s="6" t="s">
        <v>2082</v>
      </c>
      <c r="Z24" s="2" t="s">
        <v>2152</v>
      </c>
      <c r="AA24" s="2" t="s">
        <v>2246</v>
      </c>
      <c r="AB24" s="1"/>
      <c r="AC24" s="1"/>
      <c r="AD24" s="1"/>
      <c r="AE24" s="1"/>
      <c r="AF24" s="1"/>
      <c r="AG24" s="1"/>
      <c r="AI24" s="6" t="s">
        <v>1544</v>
      </c>
    </row>
    <row r="25" spans="1:35" x14ac:dyDescent="0.3">
      <c r="A25" s="7" t="s">
        <v>16</v>
      </c>
      <c r="B25" s="3" t="s">
        <v>139</v>
      </c>
      <c r="C25" s="3" t="s">
        <v>254</v>
      </c>
      <c r="D25" s="3" t="s">
        <v>343</v>
      </c>
      <c r="E25" s="2" t="s">
        <v>402</v>
      </c>
      <c r="F25" s="6" t="s">
        <v>656</v>
      </c>
      <c r="G25" s="3" t="s">
        <v>683</v>
      </c>
      <c r="H25" s="3" t="s">
        <v>932</v>
      </c>
      <c r="I25" s="2" t="s">
        <v>713</v>
      </c>
      <c r="J25" s="6" t="s">
        <v>746</v>
      </c>
      <c r="K25" s="6" t="s">
        <v>791</v>
      </c>
      <c r="L25" s="2" t="s">
        <v>847</v>
      </c>
      <c r="M25" s="3" t="s">
        <v>1113</v>
      </c>
      <c r="N25" s="6" t="s">
        <v>1288</v>
      </c>
      <c r="O25" s="3" t="s">
        <v>1311</v>
      </c>
      <c r="P25" s="3" t="s">
        <v>1399</v>
      </c>
      <c r="Q25" s="2" t="s">
        <v>1429</v>
      </c>
      <c r="R25" s="2" t="s">
        <v>1707</v>
      </c>
      <c r="S25" s="6" t="s">
        <v>1608</v>
      </c>
      <c r="T25" s="6" t="s">
        <v>1786</v>
      </c>
      <c r="U25" s="6" t="s">
        <v>1841</v>
      </c>
      <c r="V25" s="6" t="s">
        <v>2455</v>
      </c>
      <c r="W25" s="2" t="s">
        <v>1888</v>
      </c>
      <c r="X25" s="2" t="s">
        <v>1985</v>
      </c>
      <c r="Y25" s="6" t="s">
        <v>2048</v>
      </c>
      <c r="Z25" s="2" t="s">
        <v>2325</v>
      </c>
      <c r="AA25" s="2" t="s">
        <v>2257</v>
      </c>
      <c r="AB25" s="1"/>
      <c r="AC25" s="1"/>
      <c r="AD25" s="1"/>
      <c r="AE25" s="1"/>
      <c r="AF25" s="1"/>
      <c r="AG25" s="1"/>
      <c r="AI25" s="6" t="s">
        <v>1545</v>
      </c>
    </row>
    <row r="26" spans="1:35" x14ac:dyDescent="0.3">
      <c r="A26" s="7" t="s">
        <v>17</v>
      </c>
      <c r="B26" s="3" t="s">
        <v>192</v>
      </c>
      <c r="C26" s="3" t="s">
        <v>255</v>
      </c>
      <c r="D26" s="2" t="s">
        <v>957</v>
      </c>
      <c r="E26" s="2" t="s">
        <v>403</v>
      </c>
      <c r="F26" s="6" t="s">
        <v>661</v>
      </c>
      <c r="G26" s="2" t="s">
        <v>94</v>
      </c>
      <c r="H26" s="3" t="s">
        <v>933</v>
      </c>
      <c r="I26" s="2" t="s">
        <v>714</v>
      </c>
      <c r="J26" s="2" t="s">
        <v>747</v>
      </c>
      <c r="K26" s="6" t="s">
        <v>792</v>
      </c>
      <c r="L26" s="3" t="s">
        <v>848</v>
      </c>
      <c r="M26" s="2" t="s">
        <v>1209</v>
      </c>
      <c r="N26" s="6" t="s">
        <v>1259</v>
      </c>
      <c r="O26" s="3" t="s">
        <v>2263</v>
      </c>
      <c r="P26" s="3" t="s">
        <v>1354</v>
      </c>
      <c r="Q26" s="6" t="s">
        <v>1449</v>
      </c>
      <c r="R26" s="2" t="s">
        <v>1714</v>
      </c>
      <c r="S26" s="6" t="s">
        <v>1603</v>
      </c>
      <c r="T26" s="2" t="s">
        <v>1773</v>
      </c>
      <c r="U26" s="6" t="s">
        <v>1821</v>
      </c>
      <c r="V26" s="6" t="s">
        <v>2456</v>
      </c>
      <c r="W26" s="2" t="s">
        <v>1907</v>
      </c>
      <c r="X26" s="2" t="s">
        <v>1984</v>
      </c>
      <c r="Y26" s="6" t="s">
        <v>32</v>
      </c>
      <c r="Z26" s="2" t="s">
        <v>2118</v>
      </c>
      <c r="AA26" s="2" t="s">
        <v>2249</v>
      </c>
      <c r="AB26" s="1"/>
      <c r="AC26" s="1"/>
      <c r="AD26" s="1"/>
      <c r="AE26" s="1"/>
      <c r="AF26" s="1"/>
      <c r="AG26" s="1"/>
      <c r="AI26" s="6" t="s">
        <v>1543</v>
      </c>
    </row>
    <row r="27" spans="1:35" x14ac:dyDescent="0.3">
      <c r="A27" s="7" t="s">
        <v>2111</v>
      </c>
      <c r="B27" s="3" t="s">
        <v>140</v>
      </c>
      <c r="C27" s="3" t="s">
        <v>256</v>
      </c>
      <c r="D27" s="3" t="s">
        <v>344</v>
      </c>
      <c r="E27" s="2" t="s">
        <v>4</v>
      </c>
      <c r="F27" s="6" t="s">
        <v>662</v>
      </c>
      <c r="G27" s="6" t="s">
        <v>692</v>
      </c>
      <c r="H27" s="2" t="s">
        <v>934</v>
      </c>
      <c r="I27" s="3" t="s">
        <v>715</v>
      </c>
      <c r="J27" s="2" t="s">
        <v>748</v>
      </c>
      <c r="K27" s="6" t="s">
        <v>793</v>
      </c>
      <c r="L27" s="2" t="s">
        <v>849</v>
      </c>
      <c r="M27" s="6" t="s">
        <v>1092</v>
      </c>
      <c r="N27" s="6" t="s">
        <v>1560</v>
      </c>
      <c r="O27" s="3" t="s">
        <v>1329</v>
      </c>
      <c r="P27" s="2" t="s">
        <v>2400</v>
      </c>
      <c r="Q27" s="6" t="s">
        <v>1414</v>
      </c>
      <c r="R27" s="3" t="s">
        <v>1733</v>
      </c>
      <c r="S27" s="6" t="s">
        <v>1573</v>
      </c>
      <c r="T27" s="2" t="s">
        <v>1785</v>
      </c>
      <c r="U27" s="2" t="s">
        <v>2404</v>
      </c>
      <c r="V27" s="6" t="s">
        <v>2457</v>
      </c>
      <c r="W27" s="6" t="s">
        <v>1937</v>
      </c>
      <c r="X27" s="2" t="s">
        <v>1997</v>
      </c>
      <c r="Y27" s="2" t="s">
        <v>2021</v>
      </c>
      <c r="Z27" s="2" t="s">
        <v>2129</v>
      </c>
      <c r="AA27" s="2" t="s">
        <v>2243</v>
      </c>
      <c r="AB27" s="1"/>
      <c r="AC27" s="1"/>
      <c r="AD27" s="1"/>
      <c r="AE27" s="1"/>
      <c r="AF27" s="1"/>
      <c r="AG27" s="1"/>
      <c r="AI27" s="6" t="s">
        <v>1546</v>
      </c>
    </row>
    <row r="28" spans="1:35" x14ac:dyDescent="0.3">
      <c r="A28" s="7" t="s">
        <v>18</v>
      </c>
      <c r="B28" s="3" t="s">
        <v>193</v>
      </c>
      <c r="C28" s="3" t="s">
        <v>257</v>
      </c>
      <c r="D28" s="3" t="s">
        <v>374</v>
      </c>
      <c r="E28" s="2" t="s">
        <v>404</v>
      </c>
      <c r="F28" s="6" t="s">
        <v>611</v>
      </c>
      <c r="G28" s="3" t="s">
        <v>684</v>
      </c>
      <c r="H28" s="3" t="s">
        <v>935</v>
      </c>
      <c r="I28" s="3" t="s">
        <v>716</v>
      </c>
      <c r="J28" s="6" t="s">
        <v>749</v>
      </c>
      <c r="K28" s="6" t="s">
        <v>794</v>
      </c>
      <c r="L28" s="3" t="s">
        <v>1476</v>
      </c>
      <c r="M28" s="2" t="s">
        <v>1156</v>
      </c>
      <c r="N28" s="6" t="s">
        <v>1304</v>
      </c>
      <c r="O28" s="3" t="s">
        <v>1351</v>
      </c>
      <c r="P28" s="2" t="s">
        <v>2393</v>
      </c>
      <c r="Q28" s="3" t="s">
        <v>1416</v>
      </c>
      <c r="R28" s="2" t="s">
        <v>1674</v>
      </c>
      <c r="S28" s="6" t="s">
        <v>1656</v>
      </c>
      <c r="T28" s="6" t="s">
        <v>1742</v>
      </c>
      <c r="U28" s="6" t="s">
        <v>1800</v>
      </c>
      <c r="V28" s="2" t="s">
        <v>2434</v>
      </c>
      <c r="W28" s="2" t="s">
        <v>1936</v>
      </c>
      <c r="X28" s="2" t="s">
        <v>1989</v>
      </c>
      <c r="Y28" s="6" t="s">
        <v>2088</v>
      </c>
      <c r="Z28" s="2" t="s">
        <v>2138</v>
      </c>
      <c r="AA28" s="2" t="s">
        <v>268</v>
      </c>
      <c r="AB28" s="1"/>
      <c r="AC28" s="1"/>
      <c r="AD28" s="1"/>
      <c r="AE28" s="1"/>
      <c r="AF28" s="1"/>
      <c r="AG28" s="1"/>
      <c r="AI28" s="6" t="s">
        <v>1547</v>
      </c>
    </row>
    <row r="29" spans="1:35" x14ac:dyDescent="0.3">
      <c r="A29" s="7" t="s">
        <v>2114</v>
      </c>
      <c r="B29" s="3" t="s">
        <v>141</v>
      </c>
      <c r="C29" s="3" t="s">
        <v>258</v>
      </c>
      <c r="D29" s="3" t="s">
        <v>345</v>
      </c>
      <c r="E29" s="2" t="s">
        <v>405</v>
      </c>
      <c r="F29" s="3" t="s">
        <v>632</v>
      </c>
      <c r="G29" s="2" t="s">
        <v>688</v>
      </c>
      <c r="H29" s="6" t="s">
        <v>936</v>
      </c>
      <c r="I29" s="2" t="s">
        <v>1063</v>
      </c>
      <c r="J29" s="2" t="s">
        <v>750</v>
      </c>
      <c r="K29" s="6" t="s">
        <v>795</v>
      </c>
      <c r="L29" s="6" t="s">
        <v>850</v>
      </c>
      <c r="M29" s="3" t="s">
        <v>927</v>
      </c>
      <c r="N29" s="6" t="s">
        <v>1301</v>
      </c>
      <c r="O29" s="3" t="s">
        <v>1095</v>
      </c>
      <c r="P29" s="3" t="s">
        <v>1382</v>
      </c>
      <c r="Q29" s="2" t="s">
        <v>1453</v>
      </c>
      <c r="R29" s="2" t="s">
        <v>1718</v>
      </c>
      <c r="S29" s="6" t="s">
        <v>1566</v>
      </c>
      <c r="T29" s="2" t="s">
        <v>1778</v>
      </c>
      <c r="U29" s="2" t="s">
        <v>1806</v>
      </c>
      <c r="V29" s="6" t="s">
        <v>2453</v>
      </c>
      <c r="W29" s="2" t="s">
        <v>1919</v>
      </c>
      <c r="X29" s="2" t="s">
        <v>1975</v>
      </c>
      <c r="Y29" s="6" t="s">
        <v>2029</v>
      </c>
      <c r="Z29" s="2" t="s">
        <v>2163</v>
      </c>
      <c r="AA29" s="2" t="s">
        <v>2252</v>
      </c>
      <c r="AB29" s="1"/>
      <c r="AC29" s="1"/>
      <c r="AD29" s="1"/>
      <c r="AE29" s="1"/>
      <c r="AF29" s="1"/>
      <c r="AG29" s="1"/>
      <c r="AI29" s="6" t="s">
        <v>1548</v>
      </c>
    </row>
    <row r="30" spans="1:35" x14ac:dyDescent="0.3">
      <c r="A30" s="6" t="s">
        <v>2463</v>
      </c>
      <c r="B30" s="3" t="s">
        <v>1238</v>
      </c>
      <c r="C30" s="3" t="s">
        <v>259</v>
      </c>
      <c r="D30" s="2" t="s">
        <v>2386</v>
      </c>
      <c r="E30" s="2" t="s">
        <v>406</v>
      </c>
      <c r="F30" s="6" t="s">
        <v>663</v>
      </c>
      <c r="G30" s="2" t="s">
        <v>2352</v>
      </c>
      <c r="H30" s="2" t="s">
        <v>937</v>
      </c>
      <c r="I30" s="6" t="s">
        <v>1058</v>
      </c>
      <c r="J30" s="6" t="s">
        <v>751</v>
      </c>
      <c r="K30" s="6" t="s">
        <v>796</v>
      </c>
      <c r="L30" s="3" t="s">
        <v>851</v>
      </c>
      <c r="M30" s="3" t="s">
        <v>1085</v>
      </c>
      <c r="N30" s="3" t="s">
        <v>1279</v>
      </c>
      <c r="O30" s="3" t="s">
        <v>1325</v>
      </c>
      <c r="P30" s="2" t="s">
        <v>2397</v>
      </c>
      <c r="Q30" s="3" t="s">
        <v>1420</v>
      </c>
      <c r="R30" s="2" t="s">
        <v>1722</v>
      </c>
      <c r="S30" s="6" t="s">
        <v>1577</v>
      </c>
      <c r="T30" s="6" t="s">
        <v>1741</v>
      </c>
      <c r="U30" s="6" t="s">
        <v>1854</v>
      </c>
      <c r="V30" s="3" t="s">
        <v>2436</v>
      </c>
      <c r="W30" s="6" t="s">
        <v>1917</v>
      </c>
      <c r="X30" s="2" t="s">
        <v>1675</v>
      </c>
      <c r="Y30" s="6" t="s">
        <v>2025</v>
      </c>
      <c r="Z30" s="2" t="s">
        <v>2320</v>
      </c>
      <c r="AA30" s="2" t="s">
        <v>2214</v>
      </c>
      <c r="AB30" s="1"/>
      <c r="AC30" s="1"/>
      <c r="AD30" s="1"/>
      <c r="AE30" s="1"/>
      <c r="AF30" s="1"/>
      <c r="AG30" s="1"/>
      <c r="AI30" s="6" t="s">
        <v>1549</v>
      </c>
    </row>
    <row r="31" spans="1:35" x14ac:dyDescent="0.3">
      <c r="A31" s="7" t="s">
        <v>19</v>
      </c>
      <c r="B31" s="3" t="s">
        <v>194</v>
      </c>
      <c r="C31" s="3" t="s">
        <v>260</v>
      </c>
      <c r="D31" s="3" t="s">
        <v>346</v>
      </c>
      <c r="E31" s="2" t="s">
        <v>407</v>
      </c>
      <c r="F31" s="6" t="s">
        <v>630</v>
      </c>
      <c r="G31" s="3" t="s">
        <v>685</v>
      </c>
      <c r="H31" s="2" t="s">
        <v>938</v>
      </c>
      <c r="I31" s="2" t="s">
        <v>717</v>
      </c>
      <c r="J31" s="2" t="s">
        <v>752</v>
      </c>
      <c r="K31" s="6" t="s">
        <v>797</v>
      </c>
      <c r="L31" s="3" t="s">
        <v>852</v>
      </c>
      <c r="M31" s="6" t="s">
        <v>1183</v>
      </c>
      <c r="N31" s="6" t="s">
        <v>1278</v>
      </c>
      <c r="O31" s="3" t="s">
        <v>2192</v>
      </c>
      <c r="P31" s="3" t="s">
        <v>1370</v>
      </c>
      <c r="Q31" s="2" t="s">
        <v>1462</v>
      </c>
      <c r="R31" s="2" t="s">
        <v>1670</v>
      </c>
      <c r="S31" s="2" t="s">
        <v>1640</v>
      </c>
      <c r="T31" s="6" t="s">
        <v>1762</v>
      </c>
      <c r="U31" s="6" t="s">
        <v>1830</v>
      </c>
      <c r="V31" s="3" t="s">
        <v>2426</v>
      </c>
      <c r="W31" s="2" t="s">
        <v>1921</v>
      </c>
      <c r="X31" s="2" t="s">
        <v>1988</v>
      </c>
      <c r="Y31" s="6" t="s">
        <v>2089</v>
      </c>
      <c r="Z31" s="2" t="s">
        <v>2304</v>
      </c>
      <c r="AA31" s="2" t="s">
        <v>1404</v>
      </c>
      <c r="AB31" s="1"/>
      <c r="AC31" s="1"/>
      <c r="AD31" s="1"/>
      <c r="AE31" s="1"/>
      <c r="AF31" s="1"/>
      <c r="AG31" s="1"/>
      <c r="AI31" s="1" t="s">
        <v>1522</v>
      </c>
    </row>
    <row r="32" spans="1:35" x14ac:dyDescent="0.3">
      <c r="A32" s="7" t="s">
        <v>20</v>
      </c>
      <c r="B32" s="3" t="s">
        <v>142</v>
      </c>
      <c r="C32" s="3" t="s">
        <v>261</v>
      </c>
      <c r="D32" s="3" t="s">
        <v>347</v>
      </c>
      <c r="E32" s="2" t="s">
        <v>408</v>
      </c>
      <c r="F32" s="6" t="s">
        <v>659</v>
      </c>
      <c r="H32" s="6" t="s">
        <v>939</v>
      </c>
      <c r="I32" s="3" t="s">
        <v>718</v>
      </c>
      <c r="J32" s="6" t="s">
        <v>753</v>
      </c>
      <c r="K32" s="6" t="s">
        <v>2012</v>
      </c>
      <c r="L32" s="3" t="s">
        <v>853</v>
      </c>
      <c r="M32" s="2" t="s">
        <v>1213</v>
      </c>
      <c r="N32" s="6" t="s">
        <v>1287</v>
      </c>
      <c r="O32" s="3" t="s">
        <v>1316</v>
      </c>
      <c r="P32" s="3" t="s">
        <v>1390</v>
      </c>
      <c r="Q32" s="3" t="s">
        <v>1418</v>
      </c>
      <c r="R32" s="3" t="s">
        <v>1723</v>
      </c>
      <c r="S32" s="6" t="s">
        <v>942</v>
      </c>
      <c r="T32" s="6" t="s">
        <v>1749</v>
      </c>
      <c r="U32" s="6" t="s">
        <v>1848</v>
      </c>
      <c r="V32" s="3" t="s">
        <v>2430</v>
      </c>
      <c r="W32" s="2" t="s">
        <v>1899</v>
      </c>
      <c r="X32" s="2" t="s">
        <v>1970</v>
      </c>
      <c r="Y32" s="6" t="s">
        <v>2039</v>
      </c>
      <c r="Z32" s="2" t="s">
        <v>2154</v>
      </c>
      <c r="AA32" s="2" t="s">
        <v>2212</v>
      </c>
      <c r="AB32" s="1"/>
      <c r="AC32" s="1"/>
      <c r="AD32" s="1"/>
      <c r="AE32" s="1"/>
      <c r="AF32" s="1"/>
      <c r="AG32" s="1"/>
      <c r="AI32" s="1" t="s">
        <v>1525</v>
      </c>
    </row>
    <row r="33" spans="1:35" x14ac:dyDescent="0.3">
      <c r="A33" s="7" t="s">
        <v>21</v>
      </c>
      <c r="B33" s="3" t="s">
        <v>143</v>
      </c>
      <c r="C33" s="3" t="s">
        <v>262</v>
      </c>
      <c r="D33" s="3" t="s">
        <v>348</v>
      </c>
      <c r="E33" s="2" t="s">
        <v>409</v>
      </c>
      <c r="F33" s="6" t="s">
        <v>490</v>
      </c>
      <c r="H33" s="2" t="s">
        <v>940</v>
      </c>
      <c r="I33" s="3" t="s">
        <v>719</v>
      </c>
      <c r="J33" s="6" t="s">
        <v>524</v>
      </c>
      <c r="K33" s="6" t="s">
        <v>798</v>
      </c>
      <c r="L33" s="2" t="s">
        <v>854</v>
      </c>
      <c r="M33" s="3" t="s">
        <v>1223</v>
      </c>
      <c r="N33" s="6" t="s">
        <v>1261</v>
      </c>
      <c r="O33" s="3" t="s">
        <v>1336</v>
      </c>
      <c r="P33" s="2" t="s">
        <v>2399</v>
      </c>
      <c r="Q33" s="6" t="s">
        <v>1461</v>
      </c>
      <c r="R33" s="6" t="s">
        <v>1669</v>
      </c>
      <c r="S33" s="6" t="s">
        <v>1582</v>
      </c>
      <c r="T33" s="6" t="s">
        <v>1752</v>
      </c>
      <c r="U33" s="6" t="s">
        <v>1809</v>
      </c>
      <c r="V33" s="3" t="s">
        <v>2427</v>
      </c>
      <c r="W33" s="2" t="s">
        <v>1893</v>
      </c>
      <c r="X33" s="2" t="s">
        <v>677</v>
      </c>
      <c r="Y33" s="6" t="s">
        <v>2041</v>
      </c>
      <c r="Z33" s="2" t="s">
        <v>2297</v>
      </c>
      <c r="AA33" s="2" t="s">
        <v>2242</v>
      </c>
      <c r="AB33" s="1"/>
      <c r="AC33" s="1"/>
      <c r="AD33" s="1"/>
      <c r="AE33" s="1"/>
      <c r="AF33" s="1"/>
      <c r="AG33" s="1"/>
      <c r="AI33" s="1" t="s">
        <v>1508</v>
      </c>
    </row>
    <row r="34" spans="1:35" x14ac:dyDescent="0.3">
      <c r="A34" s="7" t="s">
        <v>22</v>
      </c>
      <c r="B34" s="3" t="s">
        <v>195</v>
      </c>
      <c r="C34" s="3" t="s">
        <v>263</v>
      </c>
      <c r="D34" s="3" t="s">
        <v>349</v>
      </c>
      <c r="E34" s="2" t="s">
        <v>410</v>
      </c>
      <c r="F34" s="6" t="s">
        <v>2104</v>
      </c>
      <c r="H34" s="6" t="s">
        <v>941</v>
      </c>
      <c r="I34" s="6" t="s">
        <v>720</v>
      </c>
      <c r="J34" s="6" t="s">
        <v>754</v>
      </c>
      <c r="K34" s="6" t="s">
        <v>799</v>
      </c>
      <c r="L34" s="6" t="s">
        <v>855</v>
      </c>
      <c r="M34" s="2" t="s">
        <v>1082</v>
      </c>
      <c r="N34" s="6" t="s">
        <v>1243</v>
      </c>
      <c r="O34" s="3" t="s">
        <v>2193</v>
      </c>
      <c r="P34" s="3" t="s">
        <v>1377</v>
      </c>
      <c r="Q34" s="3" t="s">
        <v>1438</v>
      </c>
      <c r="R34" s="3" t="s">
        <v>1736</v>
      </c>
      <c r="S34" s="6" t="s">
        <v>1569</v>
      </c>
      <c r="T34" s="6" t="s">
        <v>1764</v>
      </c>
      <c r="U34" s="2" t="s">
        <v>1827</v>
      </c>
      <c r="V34" s="6" t="s">
        <v>2428</v>
      </c>
      <c r="W34" s="6" t="s">
        <v>1916</v>
      </c>
      <c r="X34" s="2" t="s">
        <v>1884</v>
      </c>
      <c r="Y34" s="6" t="s">
        <v>2049</v>
      </c>
      <c r="Z34" s="2" t="s">
        <v>2278</v>
      </c>
      <c r="AA34" s="2" t="s">
        <v>2220</v>
      </c>
      <c r="AB34" s="1"/>
      <c r="AC34" s="1"/>
      <c r="AD34" s="1"/>
      <c r="AE34" s="1"/>
      <c r="AF34" s="1"/>
      <c r="AG34" s="1"/>
      <c r="AI34" s="1" t="s">
        <v>1514</v>
      </c>
    </row>
    <row r="35" spans="1:35" x14ac:dyDescent="0.3">
      <c r="A35" s="7" t="s">
        <v>23</v>
      </c>
      <c r="B35" s="3" t="s">
        <v>144</v>
      </c>
      <c r="C35" s="2" t="s">
        <v>264</v>
      </c>
      <c r="D35" s="3" t="s">
        <v>375</v>
      </c>
      <c r="E35" s="2" t="s">
        <v>411</v>
      </c>
      <c r="F35" s="6" t="s">
        <v>607</v>
      </c>
      <c r="H35" s="2" t="s">
        <v>942</v>
      </c>
      <c r="I35" s="2" t="s">
        <v>1066</v>
      </c>
      <c r="J35" s="6" t="s">
        <v>755</v>
      </c>
      <c r="K35" s="6" t="s">
        <v>800</v>
      </c>
      <c r="L35" s="3" t="s">
        <v>856</v>
      </c>
      <c r="M35" s="6" t="s">
        <v>1087</v>
      </c>
      <c r="N35" s="6" t="s">
        <v>1283</v>
      </c>
      <c r="O35" s="3" t="s">
        <v>2275</v>
      </c>
      <c r="P35" s="3" t="s">
        <v>1405</v>
      </c>
      <c r="Q35" s="13" t="s">
        <v>2459</v>
      </c>
      <c r="R35" s="3" t="s">
        <v>1715</v>
      </c>
      <c r="S35" s="6" t="s">
        <v>1576</v>
      </c>
      <c r="T35" s="2" t="s">
        <v>1747</v>
      </c>
      <c r="U35" s="6" t="s">
        <v>2407</v>
      </c>
      <c r="V35" s="3" t="s">
        <v>2429</v>
      </c>
      <c r="W35" s="2" t="s">
        <v>1938</v>
      </c>
      <c r="X35" s="2" t="s">
        <v>1972</v>
      </c>
      <c r="Y35" s="6" t="s">
        <v>2378</v>
      </c>
      <c r="Z35" s="2" t="s">
        <v>2289</v>
      </c>
      <c r="AA35" s="2" t="s">
        <v>2247</v>
      </c>
      <c r="AB35" s="1"/>
      <c r="AC35" s="1"/>
      <c r="AD35" s="1"/>
      <c r="AE35" s="1"/>
      <c r="AF35" s="1"/>
      <c r="AG35" s="1"/>
      <c r="AI35" s="1" t="s">
        <v>1496</v>
      </c>
    </row>
    <row r="36" spans="1:35" x14ac:dyDescent="0.3">
      <c r="A36" s="7" t="s">
        <v>24</v>
      </c>
      <c r="B36" s="3" t="s">
        <v>145</v>
      </c>
      <c r="C36" s="6" t="s">
        <v>603</v>
      </c>
      <c r="D36" s="3" t="s">
        <v>350</v>
      </c>
      <c r="E36" s="2" t="s">
        <v>412</v>
      </c>
      <c r="F36" s="6" t="s">
        <v>2105</v>
      </c>
      <c r="H36" s="3" t="s">
        <v>943</v>
      </c>
      <c r="I36" s="2" t="s">
        <v>1067</v>
      </c>
      <c r="J36" s="6" t="s">
        <v>756</v>
      </c>
      <c r="K36" s="2" t="s">
        <v>801</v>
      </c>
      <c r="L36" s="2" t="s">
        <v>857</v>
      </c>
      <c r="M36" s="3" t="s">
        <v>1166</v>
      </c>
      <c r="N36" s="3" t="s">
        <v>1300</v>
      </c>
      <c r="O36" s="3" t="s">
        <v>2268</v>
      </c>
      <c r="P36" s="3" t="s">
        <v>1404</v>
      </c>
      <c r="Q36" s="3" t="s">
        <v>1421</v>
      </c>
      <c r="R36" s="2" t="s">
        <v>1702</v>
      </c>
      <c r="S36" s="2" t="s">
        <v>1607</v>
      </c>
      <c r="T36" s="6" t="s">
        <v>1774</v>
      </c>
      <c r="U36" s="2" t="s">
        <v>1797</v>
      </c>
      <c r="V36" s="3" t="s">
        <v>2431</v>
      </c>
      <c r="W36" s="6" t="s">
        <v>1914</v>
      </c>
      <c r="X36" s="2" t="s">
        <v>1995</v>
      </c>
      <c r="Y36" s="3" t="s">
        <v>2059</v>
      </c>
      <c r="Z36" s="2" t="s">
        <v>2303</v>
      </c>
      <c r="AA36" s="2" t="s">
        <v>2244</v>
      </c>
      <c r="AB36" s="1"/>
      <c r="AC36" s="1"/>
      <c r="AD36" s="1"/>
      <c r="AE36" s="1"/>
      <c r="AF36" s="1"/>
      <c r="AG36" s="1"/>
      <c r="AI36" s="1" t="s">
        <v>1504</v>
      </c>
    </row>
    <row r="37" spans="1:35" x14ac:dyDescent="0.3">
      <c r="A37" s="7" t="s">
        <v>25</v>
      </c>
      <c r="B37" s="3" t="s">
        <v>196</v>
      </c>
      <c r="C37" s="6" t="s">
        <v>265</v>
      </c>
      <c r="D37" s="3" t="s">
        <v>351</v>
      </c>
      <c r="E37" s="2" t="s">
        <v>413</v>
      </c>
      <c r="F37" s="6" t="s">
        <v>290</v>
      </c>
      <c r="H37" s="2" t="s">
        <v>944</v>
      </c>
      <c r="I37" s="3" t="s">
        <v>1061</v>
      </c>
      <c r="J37" s="6" t="s">
        <v>757</v>
      </c>
      <c r="K37" s="6" t="s">
        <v>802</v>
      </c>
      <c r="L37" s="6" t="s">
        <v>858</v>
      </c>
      <c r="M37" s="2" t="s">
        <v>1227</v>
      </c>
      <c r="N37" s="6" t="s">
        <v>1256</v>
      </c>
      <c r="O37" s="3" t="s">
        <v>976</v>
      </c>
      <c r="P37" s="3" t="s">
        <v>1408</v>
      </c>
      <c r="Q37" s="3" t="s">
        <v>1433</v>
      </c>
      <c r="R37" s="3" t="s">
        <v>1700</v>
      </c>
      <c r="S37" s="6" t="s">
        <v>1620</v>
      </c>
      <c r="T37" s="6" t="s">
        <v>1756</v>
      </c>
      <c r="U37" s="6" t="s">
        <v>1851</v>
      </c>
      <c r="V37" s="3" t="s">
        <v>2432</v>
      </c>
      <c r="W37" s="6" t="s">
        <v>1910</v>
      </c>
      <c r="X37" s="2" t="s">
        <v>1992</v>
      </c>
      <c r="Y37" s="2" t="s">
        <v>2053</v>
      </c>
      <c r="Z37" s="2" t="s">
        <v>2128</v>
      </c>
      <c r="AA37" s="2" t="s">
        <v>2238</v>
      </c>
      <c r="AB37" s="1"/>
      <c r="AC37" s="1"/>
      <c r="AD37" s="1"/>
      <c r="AE37" s="1"/>
      <c r="AF37" s="1"/>
      <c r="AG37" s="1"/>
      <c r="AI37" s="1" t="s">
        <v>1495</v>
      </c>
    </row>
    <row r="38" spans="1:35" x14ac:dyDescent="0.3">
      <c r="A38" s="6" t="s">
        <v>2461</v>
      </c>
      <c r="B38" s="3" t="s">
        <v>146</v>
      </c>
      <c r="C38" s="6" t="s">
        <v>148</v>
      </c>
      <c r="D38" s="3" t="s">
        <v>352</v>
      </c>
      <c r="E38" s="2" t="s">
        <v>414</v>
      </c>
      <c r="F38" s="6" t="s">
        <v>665</v>
      </c>
      <c r="H38" s="6" t="s">
        <v>945</v>
      </c>
      <c r="I38" s="3" t="s">
        <v>721</v>
      </c>
      <c r="J38" s="6" t="s">
        <v>758</v>
      </c>
      <c r="K38" s="6" t="s">
        <v>803</v>
      </c>
      <c r="L38" s="2" t="s">
        <v>859</v>
      </c>
      <c r="M38" s="6" t="s">
        <v>1089</v>
      </c>
      <c r="N38" s="3" t="s">
        <v>1293</v>
      </c>
      <c r="O38" s="3" t="s">
        <v>1335</v>
      </c>
      <c r="P38" s="3" t="s">
        <v>1384</v>
      </c>
      <c r="Q38" s="3" t="s">
        <v>1470</v>
      </c>
      <c r="R38" s="3" t="s">
        <v>1678</v>
      </c>
      <c r="S38" s="6" t="s">
        <v>1599</v>
      </c>
      <c r="T38" s="6" t="s">
        <v>538</v>
      </c>
      <c r="U38" s="3" t="s">
        <v>2405</v>
      </c>
      <c r="V38" s="2" t="s">
        <v>2447</v>
      </c>
      <c r="W38" s="2" t="s">
        <v>1912</v>
      </c>
      <c r="X38" s="2" t="s">
        <v>2003</v>
      </c>
      <c r="Y38" s="2" t="s">
        <v>2032</v>
      </c>
      <c r="Z38" s="2" t="s">
        <v>2302</v>
      </c>
      <c r="AA38" s="2" t="s">
        <v>2254</v>
      </c>
      <c r="AB38" s="1"/>
      <c r="AC38" s="1"/>
      <c r="AD38" s="1"/>
      <c r="AE38" s="1"/>
      <c r="AF38" s="1"/>
      <c r="AG38" s="1"/>
      <c r="AI38" s="1" t="s">
        <v>1503</v>
      </c>
    </row>
    <row r="39" spans="1:35" x14ac:dyDescent="0.3">
      <c r="A39" s="7" t="s">
        <v>26</v>
      </c>
      <c r="B39" s="3" t="s">
        <v>197</v>
      </c>
      <c r="C39" s="6" t="s">
        <v>266</v>
      </c>
      <c r="D39" s="3" t="s">
        <v>165</v>
      </c>
      <c r="E39" s="2" t="s">
        <v>415</v>
      </c>
      <c r="F39" s="6" t="s">
        <v>613</v>
      </c>
      <c r="H39" s="2" t="s">
        <v>946</v>
      </c>
      <c r="I39" s="3" t="s">
        <v>722</v>
      </c>
      <c r="J39" s="6" t="s">
        <v>759</v>
      </c>
      <c r="K39" s="6" t="s">
        <v>804</v>
      </c>
      <c r="L39" s="3" t="s">
        <v>860</v>
      </c>
      <c r="M39" s="3" t="s">
        <v>1960</v>
      </c>
      <c r="N39" s="3" t="s">
        <v>1296</v>
      </c>
      <c r="O39" s="3" t="s">
        <v>1313</v>
      </c>
      <c r="P39" s="3" t="s">
        <v>1387</v>
      </c>
      <c r="Q39" s="3" t="s">
        <v>2414</v>
      </c>
      <c r="R39" s="3" t="s">
        <v>1731</v>
      </c>
      <c r="S39" s="2" t="s">
        <v>1629</v>
      </c>
      <c r="T39" s="6" t="s">
        <v>1754</v>
      </c>
      <c r="U39" s="6" t="s">
        <v>1836</v>
      </c>
      <c r="V39" s="2" t="s">
        <v>2446</v>
      </c>
      <c r="W39" s="2" t="s">
        <v>1898</v>
      </c>
      <c r="X39" s="2" t="s">
        <v>1240</v>
      </c>
      <c r="Y39" s="2" t="s">
        <v>662</v>
      </c>
      <c r="Z39" s="2" t="s">
        <v>2284</v>
      </c>
      <c r="AA39" s="2" t="s">
        <v>2234</v>
      </c>
      <c r="AB39" s="1"/>
      <c r="AC39" s="1"/>
      <c r="AD39" s="1"/>
      <c r="AE39" s="1"/>
      <c r="AF39" s="1"/>
      <c r="AG39" s="1"/>
      <c r="AI39" s="1" t="s">
        <v>1512</v>
      </c>
    </row>
    <row r="40" spans="1:35" x14ac:dyDescent="0.3">
      <c r="A40" s="7" t="s">
        <v>27</v>
      </c>
      <c r="B40" s="3" t="s">
        <v>198</v>
      </c>
      <c r="C40" s="3" t="s">
        <v>267</v>
      </c>
      <c r="D40" s="2" t="s">
        <v>2390</v>
      </c>
      <c r="E40" s="2" t="s">
        <v>416</v>
      </c>
      <c r="F40" s="2" t="s">
        <v>639</v>
      </c>
      <c r="H40" s="3" t="s">
        <v>1056</v>
      </c>
      <c r="I40" s="6" t="s">
        <v>723</v>
      </c>
      <c r="J40" s="6" t="s">
        <v>760</v>
      </c>
      <c r="K40" s="6" t="s">
        <v>805</v>
      </c>
      <c r="L40" s="2" t="s">
        <v>861</v>
      </c>
      <c r="M40" s="6" t="s">
        <v>1175</v>
      </c>
      <c r="N40" s="3" t="s">
        <v>1306</v>
      </c>
      <c r="O40" s="3" t="s">
        <v>2276</v>
      </c>
      <c r="P40" s="3" t="s">
        <v>1407</v>
      </c>
      <c r="Q40" s="3" t="s">
        <v>1464</v>
      </c>
      <c r="R40" s="3" t="s">
        <v>1677</v>
      </c>
      <c r="S40" s="6" t="s">
        <v>1610</v>
      </c>
      <c r="T40" s="2" t="s">
        <v>1746</v>
      </c>
      <c r="U40" s="3" t="s">
        <v>1807</v>
      </c>
      <c r="V40" s="2" t="s">
        <v>2454</v>
      </c>
      <c r="W40" s="2" t="s">
        <v>1901</v>
      </c>
      <c r="X40" s="2" t="s">
        <v>2004</v>
      </c>
      <c r="Y40" s="2" t="s">
        <v>2095</v>
      </c>
      <c r="Z40" s="2" t="s">
        <v>2293</v>
      </c>
      <c r="AA40" s="2" t="s">
        <v>2224</v>
      </c>
      <c r="AB40" s="1"/>
      <c r="AC40" s="1"/>
      <c r="AD40" s="1"/>
      <c r="AE40" s="1"/>
      <c r="AF40" s="1"/>
      <c r="AG40" s="1"/>
      <c r="AI40" s="1" t="s">
        <v>1498</v>
      </c>
    </row>
    <row r="41" spans="1:35" x14ac:dyDescent="0.3">
      <c r="A41" s="7" t="s">
        <v>28</v>
      </c>
      <c r="B41" s="3" t="s">
        <v>147</v>
      </c>
      <c r="C41" s="3" t="s">
        <v>268</v>
      </c>
      <c r="D41" s="3" t="s">
        <v>353</v>
      </c>
      <c r="E41" s="2" t="s">
        <v>417</v>
      </c>
      <c r="F41" s="6" t="s">
        <v>634</v>
      </c>
      <c r="H41" s="2" t="s">
        <v>947</v>
      </c>
      <c r="J41" s="2" t="s">
        <v>761</v>
      </c>
      <c r="K41" s="6" t="s">
        <v>806</v>
      </c>
      <c r="L41" s="2" t="s">
        <v>862</v>
      </c>
      <c r="M41" s="6" t="s">
        <v>1141</v>
      </c>
      <c r="N41" s="6" t="s">
        <v>1267</v>
      </c>
      <c r="O41" s="3" t="s">
        <v>1346</v>
      </c>
      <c r="P41" s="3" t="s">
        <v>1388</v>
      </c>
      <c r="Q41" s="3" t="s">
        <v>1459</v>
      </c>
      <c r="R41" s="3" t="s">
        <v>1676</v>
      </c>
      <c r="S41" s="6" t="s">
        <v>1562</v>
      </c>
      <c r="T41" s="2" t="s">
        <v>1776</v>
      </c>
      <c r="U41" s="6" t="s">
        <v>1839</v>
      </c>
      <c r="W41" s="2" t="s">
        <v>1884</v>
      </c>
      <c r="X41" s="2" t="s">
        <v>1977</v>
      </c>
      <c r="Y41" s="2" t="s">
        <v>2061</v>
      </c>
      <c r="Z41" s="2" t="s">
        <v>2307</v>
      </c>
      <c r="AA41" s="2" t="s">
        <v>2231</v>
      </c>
      <c r="AB41" s="1"/>
      <c r="AC41" s="1"/>
      <c r="AD41" s="1"/>
      <c r="AE41" s="1"/>
      <c r="AF41" s="1"/>
      <c r="AG41" s="1"/>
      <c r="AI41" s="1" t="s">
        <v>1516</v>
      </c>
    </row>
    <row r="42" spans="1:35" x14ac:dyDescent="0.3">
      <c r="A42" s="7" t="s">
        <v>29</v>
      </c>
      <c r="B42" s="3" t="s">
        <v>199</v>
      </c>
      <c r="C42" s="3" t="s">
        <v>269</v>
      </c>
      <c r="D42" s="3" t="s">
        <v>354</v>
      </c>
      <c r="E42" s="2" t="s">
        <v>418</v>
      </c>
      <c r="F42" s="6" t="s">
        <v>626</v>
      </c>
      <c r="H42" s="6" t="s">
        <v>948</v>
      </c>
      <c r="J42" s="2" t="s">
        <v>762</v>
      </c>
      <c r="K42" s="6" t="s">
        <v>2013</v>
      </c>
      <c r="L42" s="2" t="s">
        <v>1073</v>
      </c>
      <c r="M42" s="3" t="s">
        <v>1127</v>
      </c>
      <c r="N42" s="3" t="s">
        <v>1275</v>
      </c>
      <c r="O42" s="3" t="s">
        <v>1319</v>
      </c>
      <c r="P42" s="3" t="s">
        <v>1372</v>
      </c>
      <c r="Q42" s="2" t="s">
        <v>1419</v>
      </c>
      <c r="R42" s="3" t="s">
        <v>1710</v>
      </c>
      <c r="S42" s="6" t="s">
        <v>1588</v>
      </c>
      <c r="T42" s="2" t="s">
        <v>1782</v>
      </c>
      <c r="U42" s="6" t="s">
        <v>1852</v>
      </c>
      <c r="W42" s="2" t="s">
        <v>1895</v>
      </c>
      <c r="Y42" s="2" t="s">
        <v>743</v>
      </c>
      <c r="Z42" s="2" t="s">
        <v>2328</v>
      </c>
      <c r="AA42" s="2" t="s">
        <v>679</v>
      </c>
      <c r="AB42" s="1"/>
      <c r="AC42" s="1"/>
      <c r="AD42" s="1"/>
      <c r="AE42" s="1"/>
      <c r="AF42" s="1"/>
      <c r="AG42" s="1"/>
      <c r="AI42" s="1" t="s">
        <v>1500</v>
      </c>
    </row>
    <row r="43" spans="1:35" x14ac:dyDescent="0.3">
      <c r="A43" s="6" t="s">
        <v>2466</v>
      </c>
      <c r="B43" s="3" t="s">
        <v>148</v>
      </c>
      <c r="C43" s="3" t="s">
        <v>270</v>
      </c>
      <c r="D43" s="3" t="s">
        <v>355</v>
      </c>
      <c r="E43" s="2" t="s">
        <v>419</v>
      </c>
      <c r="F43" s="6" t="s">
        <v>609</v>
      </c>
      <c r="H43" s="6" t="s">
        <v>949</v>
      </c>
      <c r="J43" s="3" t="s">
        <v>763</v>
      </c>
      <c r="K43" s="6" t="s">
        <v>807</v>
      </c>
      <c r="L43" s="3" t="s">
        <v>863</v>
      </c>
      <c r="M43" s="3" t="s">
        <v>1191</v>
      </c>
      <c r="N43" s="3" t="s">
        <v>873</v>
      </c>
      <c r="O43" s="3" t="s">
        <v>1345</v>
      </c>
      <c r="P43" s="3" t="s">
        <v>1115</v>
      </c>
      <c r="Q43" s="3" t="s">
        <v>1434</v>
      </c>
      <c r="R43" s="3" t="s">
        <v>1709</v>
      </c>
      <c r="S43" s="3" t="s">
        <v>1646</v>
      </c>
      <c r="T43" s="2" t="s">
        <v>1771</v>
      </c>
      <c r="U43" s="6" t="s">
        <v>1816</v>
      </c>
      <c r="W43" s="2" t="s">
        <v>1891</v>
      </c>
      <c r="Y43" s="2" t="s">
        <v>2096</v>
      </c>
      <c r="Z43" s="2" t="s">
        <v>2156</v>
      </c>
      <c r="AA43" s="2" t="s">
        <v>2198</v>
      </c>
      <c r="AB43" s="1"/>
      <c r="AC43" s="1"/>
      <c r="AD43" s="1"/>
      <c r="AE43" s="1"/>
      <c r="AF43" s="1"/>
      <c r="AG43" s="1"/>
      <c r="AI43" s="1" t="s">
        <v>1497</v>
      </c>
    </row>
    <row r="44" spans="1:35" x14ac:dyDescent="0.3">
      <c r="A44" s="7" t="s">
        <v>30</v>
      </c>
      <c r="B44" s="3" t="s">
        <v>200</v>
      </c>
      <c r="C44" s="2" t="s">
        <v>271</v>
      </c>
      <c r="D44" s="2" t="s">
        <v>2388</v>
      </c>
      <c r="E44" s="2" t="s">
        <v>420</v>
      </c>
      <c r="F44" s="6" t="s">
        <v>606</v>
      </c>
      <c r="H44" s="2" t="s">
        <v>950</v>
      </c>
      <c r="J44" s="2" t="s">
        <v>764</v>
      </c>
      <c r="K44" s="2" t="s">
        <v>808</v>
      </c>
      <c r="L44" s="3" t="s">
        <v>864</v>
      </c>
      <c r="M44" s="6" t="s">
        <v>1125</v>
      </c>
      <c r="N44" s="6" t="s">
        <v>1273</v>
      </c>
      <c r="O44" s="3" t="s">
        <v>1339</v>
      </c>
      <c r="P44" s="3" t="s">
        <v>1409</v>
      </c>
      <c r="Q44" s="3" t="s">
        <v>1417</v>
      </c>
      <c r="R44" s="3" t="s">
        <v>1726</v>
      </c>
      <c r="S44" s="6" t="s">
        <v>1631</v>
      </c>
      <c r="T44" s="6" t="s">
        <v>1777</v>
      </c>
      <c r="U44" s="2" t="s">
        <v>1845</v>
      </c>
      <c r="W44" s="6" t="s">
        <v>1863</v>
      </c>
      <c r="Y44" s="2" t="s">
        <v>2033</v>
      </c>
      <c r="Z44" s="2" t="s">
        <v>2172</v>
      </c>
      <c r="AA44" s="2" t="s">
        <v>290</v>
      </c>
      <c r="AB44" s="1"/>
      <c r="AC44" s="1"/>
      <c r="AD44" s="1"/>
      <c r="AE44" s="1"/>
      <c r="AF44" s="1"/>
      <c r="AG44" s="1"/>
      <c r="AI44" s="1" t="s">
        <v>1527</v>
      </c>
    </row>
    <row r="45" spans="1:35" x14ac:dyDescent="0.3">
      <c r="A45" s="7" t="s">
        <v>31</v>
      </c>
      <c r="B45" s="3" t="s">
        <v>201</v>
      </c>
      <c r="C45" s="3" t="s">
        <v>272</v>
      </c>
      <c r="D45" s="3" t="s">
        <v>376</v>
      </c>
      <c r="E45" s="2" t="s">
        <v>421</v>
      </c>
      <c r="F45" s="2" t="s">
        <v>655</v>
      </c>
      <c r="H45" s="3" t="s">
        <v>951</v>
      </c>
      <c r="J45" s="2" t="s">
        <v>765</v>
      </c>
      <c r="K45" s="6" t="s">
        <v>809</v>
      </c>
      <c r="L45" s="2" t="s">
        <v>865</v>
      </c>
      <c r="M45" s="3" t="s">
        <v>1958</v>
      </c>
      <c r="N45" s="6" t="s">
        <v>1247</v>
      </c>
      <c r="O45" s="3" t="s">
        <v>1328</v>
      </c>
      <c r="P45" s="3" t="s">
        <v>1378</v>
      </c>
      <c r="Q45" s="3" t="s">
        <v>1428</v>
      </c>
      <c r="R45" s="6" t="s">
        <v>1675</v>
      </c>
      <c r="S45" s="6" t="s">
        <v>1605</v>
      </c>
      <c r="T45" s="6" t="s">
        <v>1757</v>
      </c>
      <c r="U45" s="2" t="s">
        <v>1820</v>
      </c>
      <c r="W45" s="6" t="s">
        <v>1890</v>
      </c>
      <c r="Y45" s="2" t="s">
        <v>2078</v>
      </c>
      <c r="Z45" s="2" t="s">
        <v>2324</v>
      </c>
      <c r="AA45" s="2" t="s">
        <v>2219</v>
      </c>
      <c r="AB45" s="1"/>
      <c r="AC45" s="1"/>
      <c r="AD45" s="1"/>
      <c r="AE45" s="1"/>
      <c r="AF45" s="1"/>
      <c r="AG45" s="1"/>
      <c r="AI45" s="1" t="s">
        <v>1524</v>
      </c>
    </row>
    <row r="46" spans="1:35" x14ac:dyDescent="0.3">
      <c r="A46" s="7" t="s">
        <v>32</v>
      </c>
      <c r="B46" s="3" t="s">
        <v>202</v>
      </c>
      <c r="C46" s="2" t="s">
        <v>604</v>
      </c>
      <c r="D46" s="3" t="s">
        <v>356</v>
      </c>
      <c r="E46" s="2" t="s">
        <v>422</v>
      </c>
      <c r="F46" s="2" t="s">
        <v>654</v>
      </c>
      <c r="H46" s="2" t="s">
        <v>952</v>
      </c>
      <c r="J46" s="2" t="s">
        <v>766</v>
      </c>
      <c r="K46" s="6" t="s">
        <v>810</v>
      </c>
      <c r="L46" s="3" t="s">
        <v>866</v>
      </c>
      <c r="M46" s="3" t="s">
        <v>373</v>
      </c>
      <c r="N46" s="6" t="s">
        <v>1270</v>
      </c>
      <c r="O46" s="3" t="s">
        <v>1941</v>
      </c>
      <c r="P46" s="3" t="s">
        <v>1374</v>
      </c>
      <c r="Q46" s="2" t="s">
        <v>994</v>
      </c>
      <c r="R46" s="6" t="s">
        <v>1735</v>
      </c>
      <c r="S46" s="6" t="s">
        <v>1614</v>
      </c>
      <c r="T46" s="6" t="s">
        <v>1770</v>
      </c>
      <c r="U46" s="6" t="s">
        <v>1794</v>
      </c>
      <c r="W46" s="6" t="s">
        <v>2101</v>
      </c>
      <c r="Y46" s="2" t="s">
        <v>2376</v>
      </c>
      <c r="Z46" s="2" t="s">
        <v>2158</v>
      </c>
      <c r="AA46" s="2" t="s">
        <v>2209</v>
      </c>
      <c r="AB46" s="1"/>
      <c r="AC46" s="1"/>
      <c r="AD46" s="1"/>
      <c r="AE46" s="1"/>
      <c r="AF46" s="1"/>
      <c r="AG46" s="1"/>
      <c r="AI46" s="1" t="s">
        <v>1515</v>
      </c>
    </row>
    <row r="47" spans="1:35" x14ac:dyDescent="0.3">
      <c r="A47" s="7" t="s">
        <v>33</v>
      </c>
      <c r="B47" s="3" t="s">
        <v>149</v>
      </c>
      <c r="C47" s="6" t="s">
        <v>273</v>
      </c>
      <c r="D47" s="3" t="s">
        <v>357</v>
      </c>
      <c r="E47" s="2" t="s">
        <v>423</v>
      </c>
      <c r="F47" s="2" t="s">
        <v>538</v>
      </c>
      <c r="H47" s="6" t="s">
        <v>953</v>
      </c>
      <c r="J47" s="2" t="s">
        <v>767</v>
      </c>
      <c r="K47" s="6" t="s">
        <v>811</v>
      </c>
      <c r="L47" s="2" t="s">
        <v>867</v>
      </c>
      <c r="M47" s="6" t="s">
        <v>2415</v>
      </c>
      <c r="N47" s="6" t="s">
        <v>1258</v>
      </c>
      <c r="O47" s="3" t="s">
        <v>1309</v>
      </c>
      <c r="P47" s="3" t="s">
        <v>1365</v>
      </c>
      <c r="Q47" s="6" t="s">
        <v>1441</v>
      </c>
      <c r="R47" s="6" t="s">
        <v>1673</v>
      </c>
      <c r="S47" s="6" t="s">
        <v>1643</v>
      </c>
      <c r="T47" s="2" t="s">
        <v>1029</v>
      </c>
      <c r="U47" s="2" t="s">
        <v>2408</v>
      </c>
      <c r="W47" s="2" t="s">
        <v>1911</v>
      </c>
      <c r="Y47" s="2" t="s">
        <v>2023</v>
      </c>
      <c r="Z47" s="2" t="s">
        <v>2142</v>
      </c>
      <c r="AA47" s="2" t="s">
        <v>2230</v>
      </c>
      <c r="AB47" s="1"/>
      <c r="AC47" s="1"/>
      <c r="AD47" s="1"/>
      <c r="AE47" s="1"/>
      <c r="AF47" s="1"/>
      <c r="AG47" s="1"/>
      <c r="AI47" s="1" t="s">
        <v>1502</v>
      </c>
    </row>
    <row r="48" spans="1:35" x14ac:dyDescent="0.3">
      <c r="A48" s="7" t="s">
        <v>34</v>
      </c>
      <c r="B48" s="3" t="s">
        <v>203</v>
      </c>
      <c r="C48" s="2" t="s">
        <v>600</v>
      </c>
      <c r="D48" s="3" t="s">
        <v>377</v>
      </c>
      <c r="E48" s="2" t="s">
        <v>424</v>
      </c>
      <c r="F48" s="2" t="s">
        <v>619</v>
      </c>
      <c r="H48" s="6" t="s">
        <v>954</v>
      </c>
      <c r="J48" s="2" t="s">
        <v>768</v>
      </c>
      <c r="K48" s="6" t="s">
        <v>758</v>
      </c>
      <c r="L48" s="2" t="s">
        <v>868</v>
      </c>
      <c r="M48" s="2" t="s">
        <v>1187</v>
      </c>
      <c r="N48" s="6" t="s">
        <v>1668</v>
      </c>
      <c r="O48" s="3" t="s">
        <v>1326</v>
      </c>
      <c r="P48" s="3" t="s">
        <v>1394</v>
      </c>
      <c r="Q48" s="3" t="s">
        <v>1424</v>
      </c>
      <c r="R48" s="3" t="s">
        <v>1691</v>
      </c>
      <c r="S48" s="6" t="s">
        <v>1653</v>
      </c>
      <c r="T48" s="6" t="s">
        <v>1787</v>
      </c>
      <c r="U48" s="3" t="s">
        <v>1837</v>
      </c>
      <c r="W48" s="2" t="s">
        <v>1902</v>
      </c>
      <c r="Y48" s="2" t="s">
        <v>2031</v>
      </c>
      <c r="Z48" s="2" t="s">
        <v>2287</v>
      </c>
      <c r="AA48" s="2" t="s">
        <v>2190</v>
      </c>
      <c r="AB48" s="1"/>
      <c r="AC48" s="1"/>
      <c r="AD48" s="1"/>
      <c r="AE48" s="1"/>
      <c r="AF48" s="1"/>
      <c r="AG48" s="1"/>
      <c r="AI48" s="1" t="s">
        <v>654</v>
      </c>
    </row>
    <row r="49" spans="1:35" x14ac:dyDescent="0.3">
      <c r="A49" s="7" t="s">
        <v>35</v>
      </c>
      <c r="B49" s="3" t="s">
        <v>1237</v>
      </c>
      <c r="C49" s="3" t="s">
        <v>274</v>
      </c>
      <c r="D49" s="6" t="s">
        <v>2385</v>
      </c>
      <c r="E49" s="2" t="s">
        <v>425</v>
      </c>
      <c r="F49" s="2" t="s">
        <v>621</v>
      </c>
      <c r="H49" s="6" t="s">
        <v>955</v>
      </c>
      <c r="J49" s="2" t="s">
        <v>769</v>
      </c>
      <c r="K49" s="6" t="s">
        <v>812</v>
      </c>
      <c r="L49" s="2" t="s">
        <v>1071</v>
      </c>
      <c r="M49" s="3" t="s">
        <v>1126</v>
      </c>
      <c r="N49" s="3" t="s">
        <v>1253</v>
      </c>
      <c r="O49" s="3" t="s">
        <v>1337</v>
      </c>
      <c r="P49" s="3" t="s">
        <v>1373</v>
      </c>
      <c r="Q49" s="6" t="s">
        <v>1423</v>
      </c>
      <c r="R49" s="2" t="s">
        <v>1734</v>
      </c>
      <c r="S49" s="6" t="s">
        <v>1158</v>
      </c>
      <c r="T49" s="2" t="s">
        <v>1783</v>
      </c>
      <c r="U49" s="6" t="s">
        <v>1810</v>
      </c>
      <c r="W49" s="6" t="s">
        <v>1868</v>
      </c>
      <c r="Y49" s="2" t="s">
        <v>2079</v>
      </c>
      <c r="Z49" s="2" t="s">
        <v>2323</v>
      </c>
      <c r="AA49" s="2" t="s">
        <v>2202</v>
      </c>
      <c r="AB49" s="1"/>
      <c r="AC49" s="1"/>
      <c r="AD49" s="1"/>
      <c r="AE49" s="1"/>
      <c r="AF49" s="1"/>
      <c r="AG49" s="1"/>
      <c r="AI49" s="1" t="s">
        <v>1491</v>
      </c>
    </row>
    <row r="50" spans="1:35" x14ac:dyDescent="0.3">
      <c r="A50" s="7" t="s">
        <v>36</v>
      </c>
      <c r="B50" s="3" t="s">
        <v>150</v>
      </c>
      <c r="C50" s="3" t="s">
        <v>275</v>
      </c>
      <c r="D50" s="3" t="s">
        <v>358</v>
      </c>
      <c r="E50" s="2" t="s">
        <v>426</v>
      </c>
      <c r="F50" s="2" t="s">
        <v>648</v>
      </c>
      <c r="H50" s="6" t="s">
        <v>956</v>
      </c>
      <c r="J50" s="6" t="s">
        <v>770</v>
      </c>
      <c r="K50" s="6" t="s">
        <v>813</v>
      </c>
      <c r="L50" s="2" t="s">
        <v>869</v>
      </c>
      <c r="M50" s="6" t="s">
        <v>1208</v>
      </c>
      <c r="N50" s="3" t="s">
        <v>1295</v>
      </c>
      <c r="O50" s="3" t="s">
        <v>1942</v>
      </c>
      <c r="P50" s="6" t="s">
        <v>2339</v>
      </c>
      <c r="Q50" s="2" t="s">
        <v>1472</v>
      </c>
      <c r="R50" s="2" t="s">
        <v>1695</v>
      </c>
      <c r="S50" s="6" t="s">
        <v>1622</v>
      </c>
      <c r="T50" s="2" t="s">
        <v>1744</v>
      </c>
      <c r="U50" s="3" t="s">
        <v>1739</v>
      </c>
      <c r="W50" s="2" t="s">
        <v>1880</v>
      </c>
      <c r="Y50" s="2" t="s">
        <v>2091</v>
      </c>
      <c r="Z50" s="2" t="s">
        <v>2178</v>
      </c>
      <c r="AA50" s="2" t="s">
        <v>2245</v>
      </c>
      <c r="AB50" s="1"/>
      <c r="AC50" s="1"/>
      <c r="AD50" s="1"/>
      <c r="AE50" s="1"/>
      <c r="AF50" s="1"/>
      <c r="AG50" s="1"/>
      <c r="AI50" s="1" t="s">
        <v>1505</v>
      </c>
    </row>
    <row r="51" spans="1:35" x14ac:dyDescent="0.3">
      <c r="A51" s="7" t="s">
        <v>37</v>
      </c>
      <c r="B51" s="3" t="s">
        <v>151</v>
      </c>
      <c r="C51" s="3" t="s">
        <v>276</v>
      </c>
      <c r="D51" s="3" t="s">
        <v>359</v>
      </c>
      <c r="E51" s="2" t="s">
        <v>427</v>
      </c>
      <c r="F51" s="2" t="s">
        <v>668</v>
      </c>
      <c r="H51" s="6" t="s">
        <v>957</v>
      </c>
      <c r="J51" s="2" t="s">
        <v>771</v>
      </c>
      <c r="K51" s="2" t="s">
        <v>814</v>
      </c>
      <c r="L51" s="2" t="s">
        <v>870</v>
      </c>
      <c r="M51" s="6" t="s">
        <v>1199</v>
      </c>
      <c r="N51" s="2" t="s">
        <v>1244</v>
      </c>
      <c r="O51" s="3" t="s">
        <v>1344</v>
      </c>
      <c r="P51" s="3" t="s">
        <v>1358</v>
      </c>
      <c r="Q51" s="2" t="s">
        <v>1445</v>
      </c>
      <c r="R51" s="3" t="s">
        <v>1672</v>
      </c>
      <c r="S51" s="6" t="s">
        <v>1639</v>
      </c>
      <c r="T51" s="6" t="s">
        <v>1753</v>
      </c>
      <c r="U51" s="2" t="s">
        <v>2409</v>
      </c>
      <c r="W51" s="6" t="s">
        <v>1927</v>
      </c>
      <c r="Y51" s="2" t="s">
        <v>2085</v>
      </c>
      <c r="Z51" s="2" t="s">
        <v>2131</v>
      </c>
      <c r="AA51" s="2" t="s">
        <v>2205</v>
      </c>
      <c r="AB51" s="1"/>
      <c r="AC51" s="1"/>
      <c r="AD51" s="1"/>
      <c r="AE51" s="1"/>
      <c r="AF51" s="1"/>
      <c r="AG51" s="1"/>
      <c r="AI51" s="1" t="s">
        <v>1517</v>
      </c>
    </row>
    <row r="52" spans="1:35" x14ac:dyDescent="0.3">
      <c r="A52" s="7" t="s">
        <v>38</v>
      </c>
      <c r="B52" s="3" t="s">
        <v>204</v>
      </c>
      <c r="C52" s="3" t="s">
        <v>277</v>
      </c>
      <c r="D52" s="3" t="s">
        <v>360</v>
      </c>
      <c r="E52" s="2" t="s">
        <v>428</v>
      </c>
      <c r="F52" s="2" t="s">
        <v>644</v>
      </c>
      <c r="H52" s="2" t="s">
        <v>958</v>
      </c>
      <c r="J52" s="3" t="s">
        <v>722</v>
      </c>
      <c r="K52" s="2" t="s">
        <v>815</v>
      </c>
      <c r="L52" s="3" t="s">
        <v>871</v>
      </c>
      <c r="M52" s="6" t="s">
        <v>1119</v>
      </c>
      <c r="N52" s="3" t="s">
        <v>1280</v>
      </c>
      <c r="O52" s="3" t="s">
        <v>1347</v>
      </c>
      <c r="P52" s="3" t="s">
        <v>1403</v>
      </c>
      <c r="Q52" s="6" t="s">
        <v>1427</v>
      </c>
      <c r="R52" s="3" t="s">
        <v>1728</v>
      </c>
      <c r="S52" s="6" t="s">
        <v>1568</v>
      </c>
      <c r="T52" s="2" t="s">
        <v>1784</v>
      </c>
      <c r="U52" s="3" t="s">
        <v>1835</v>
      </c>
      <c r="W52" s="6" t="s">
        <v>1864</v>
      </c>
      <c r="Y52" s="2" t="s">
        <v>2054</v>
      </c>
      <c r="Z52" s="2" t="s">
        <v>2127</v>
      </c>
      <c r="AA52" s="2" t="s">
        <v>2206</v>
      </c>
      <c r="AB52" s="1"/>
      <c r="AC52" s="1"/>
      <c r="AD52" s="1"/>
      <c r="AE52" s="1"/>
      <c r="AF52" s="1"/>
      <c r="AG52" s="1"/>
      <c r="AI52" s="1" t="s">
        <v>1499</v>
      </c>
    </row>
    <row r="53" spans="1:35" x14ac:dyDescent="0.3">
      <c r="A53" s="7" t="s">
        <v>39</v>
      </c>
      <c r="B53" s="3" t="s">
        <v>205</v>
      </c>
      <c r="C53" s="3" t="s">
        <v>278</v>
      </c>
      <c r="D53" s="3" t="s">
        <v>361</v>
      </c>
      <c r="E53" s="2" t="s">
        <v>429</v>
      </c>
      <c r="F53" s="2" t="s">
        <v>635</v>
      </c>
      <c r="H53" s="6" t="s">
        <v>959</v>
      </c>
      <c r="J53" s="3" t="s">
        <v>772</v>
      </c>
      <c r="K53" s="6" t="s">
        <v>816</v>
      </c>
      <c r="L53" s="3" t="s">
        <v>872</v>
      </c>
      <c r="M53" s="3" t="s">
        <v>1101</v>
      </c>
      <c r="N53" s="3" t="s">
        <v>1265</v>
      </c>
      <c r="O53" s="3" t="s">
        <v>1307</v>
      </c>
      <c r="P53" s="3" t="s">
        <v>1356</v>
      </c>
      <c r="Q53" s="2" t="s">
        <v>1460</v>
      </c>
      <c r="R53" s="2" t="s">
        <v>1684</v>
      </c>
      <c r="S53" s="6" t="s">
        <v>1628</v>
      </c>
      <c r="U53" s="6" t="s">
        <v>1812</v>
      </c>
      <c r="W53" s="6" t="s">
        <v>621</v>
      </c>
      <c r="Y53" s="2" t="s">
        <v>2086</v>
      </c>
      <c r="Z53" s="2" t="s">
        <v>2143</v>
      </c>
      <c r="AA53" s="2" t="s">
        <v>2223</v>
      </c>
      <c r="AB53" s="1"/>
      <c r="AC53" s="1"/>
      <c r="AD53" s="1"/>
      <c r="AE53" s="1"/>
      <c r="AF53" s="1"/>
      <c r="AG53" s="1"/>
      <c r="AI53" s="1" t="s">
        <v>1509</v>
      </c>
    </row>
    <row r="54" spans="1:35" x14ac:dyDescent="0.3">
      <c r="A54" s="7" t="s">
        <v>40</v>
      </c>
      <c r="B54" s="3" t="s">
        <v>152</v>
      </c>
      <c r="C54" s="3" t="s">
        <v>279</v>
      </c>
      <c r="D54" s="2" t="s">
        <v>362</v>
      </c>
      <c r="E54" s="2" t="s">
        <v>430</v>
      </c>
      <c r="F54" s="2" t="s">
        <v>612</v>
      </c>
      <c r="H54" s="6" t="s">
        <v>960</v>
      </c>
      <c r="K54" s="6" t="s">
        <v>817</v>
      </c>
      <c r="L54" s="3" t="s">
        <v>873</v>
      </c>
      <c r="M54" s="6" t="s">
        <v>1182</v>
      </c>
      <c r="N54" s="3" t="s">
        <v>1272</v>
      </c>
      <c r="O54" s="3" t="s">
        <v>1341</v>
      </c>
      <c r="P54" s="3" t="s">
        <v>1379</v>
      </c>
      <c r="Q54" s="6" t="s">
        <v>1430</v>
      </c>
      <c r="R54" s="6" t="s">
        <v>1721</v>
      </c>
      <c r="S54" s="6" t="s">
        <v>1621</v>
      </c>
      <c r="U54" s="6" t="s">
        <v>1831</v>
      </c>
      <c r="W54" s="6" t="s">
        <v>1932</v>
      </c>
      <c r="Y54" s="2" t="s">
        <v>2074</v>
      </c>
      <c r="Z54" s="2" t="s">
        <v>2144</v>
      </c>
      <c r="AA54" s="2" t="s">
        <v>2200</v>
      </c>
      <c r="AB54" s="1"/>
      <c r="AC54" s="1"/>
      <c r="AD54" s="1"/>
      <c r="AE54" s="1"/>
      <c r="AF54" s="1"/>
      <c r="AG54" s="1"/>
      <c r="AI54" s="1" t="s">
        <v>1521</v>
      </c>
    </row>
    <row r="55" spans="1:35" x14ac:dyDescent="0.3">
      <c r="A55" s="7" t="s">
        <v>41</v>
      </c>
      <c r="B55" s="3" t="s">
        <v>206</v>
      </c>
      <c r="C55" s="3" t="s">
        <v>280</v>
      </c>
      <c r="D55" s="3" t="s">
        <v>363</v>
      </c>
      <c r="E55" s="2" t="s">
        <v>431</v>
      </c>
      <c r="F55" s="2" t="s">
        <v>618</v>
      </c>
      <c r="H55" s="3" t="s">
        <v>961</v>
      </c>
      <c r="K55" s="6" t="s">
        <v>818</v>
      </c>
      <c r="L55" s="3" t="s">
        <v>874</v>
      </c>
      <c r="M55" s="2" t="s">
        <v>1215</v>
      </c>
      <c r="N55" s="6" t="s">
        <v>1299</v>
      </c>
      <c r="O55" s="3" t="s">
        <v>1321</v>
      </c>
      <c r="P55" s="3" t="s">
        <v>1376</v>
      </c>
      <c r="Q55" s="6" t="s">
        <v>1456</v>
      </c>
      <c r="R55" s="3" t="s">
        <v>1732</v>
      </c>
      <c r="S55" s="6" t="s">
        <v>1586</v>
      </c>
      <c r="U55" s="6" t="s">
        <v>1832</v>
      </c>
      <c r="W55" s="2" t="s">
        <v>1887</v>
      </c>
      <c r="Y55" s="2" t="s">
        <v>2051</v>
      </c>
      <c r="Z55" s="2" t="s">
        <v>2153</v>
      </c>
      <c r="AA55" s="2" t="s">
        <v>2239</v>
      </c>
      <c r="AB55" s="1"/>
      <c r="AC55" s="1"/>
      <c r="AD55" s="1"/>
      <c r="AE55" s="1"/>
      <c r="AF55" s="1"/>
      <c r="AG55" s="1"/>
      <c r="AI55" s="1" t="s">
        <v>1501</v>
      </c>
    </row>
    <row r="56" spans="1:35" x14ac:dyDescent="0.3">
      <c r="A56" s="7" t="s">
        <v>42</v>
      </c>
      <c r="B56" s="3" t="s">
        <v>153</v>
      </c>
      <c r="C56" s="3" t="s">
        <v>281</v>
      </c>
      <c r="D56" s="3" t="s">
        <v>364</v>
      </c>
      <c r="E56" s="2" t="s">
        <v>432</v>
      </c>
      <c r="F56" s="2" t="s">
        <v>625</v>
      </c>
      <c r="H56" s="2" t="s">
        <v>962</v>
      </c>
      <c r="K56" s="6" t="s">
        <v>2014</v>
      </c>
      <c r="L56" s="3" t="s">
        <v>875</v>
      </c>
      <c r="M56" s="6" t="s">
        <v>1111</v>
      </c>
      <c r="N56" s="2" t="s">
        <v>1276</v>
      </c>
      <c r="O56" s="3" t="s">
        <v>1943</v>
      </c>
      <c r="P56" s="3" t="s">
        <v>1412</v>
      </c>
      <c r="Q56" s="3" t="s">
        <v>1467</v>
      </c>
      <c r="R56" s="6" t="s">
        <v>1706</v>
      </c>
      <c r="S56" s="6" t="s">
        <v>1655</v>
      </c>
      <c r="U56" s="6" t="s">
        <v>1803</v>
      </c>
      <c r="W56" s="2" t="s">
        <v>1913</v>
      </c>
      <c r="Y56" s="2" t="s">
        <v>2067</v>
      </c>
      <c r="Z56" s="2" t="s">
        <v>2288</v>
      </c>
      <c r="AA56" s="2" t="s">
        <v>2240</v>
      </c>
      <c r="AB56" s="1"/>
      <c r="AC56" s="1"/>
      <c r="AD56" s="1"/>
      <c r="AE56" s="1"/>
      <c r="AF56" s="1"/>
      <c r="AG56" s="1"/>
      <c r="AI56" s="1" t="s">
        <v>1506</v>
      </c>
    </row>
    <row r="57" spans="1:35" x14ac:dyDescent="0.3">
      <c r="A57" s="7" t="s">
        <v>1479</v>
      </c>
      <c r="B57" s="3" t="s">
        <v>207</v>
      </c>
      <c r="C57" s="2" t="s">
        <v>602</v>
      </c>
      <c r="D57" s="3" t="s">
        <v>365</v>
      </c>
      <c r="E57" s="2" t="s">
        <v>433</v>
      </c>
      <c r="F57" s="2" t="s">
        <v>650</v>
      </c>
      <c r="H57" s="6" t="s">
        <v>963</v>
      </c>
      <c r="K57" s="6" t="s">
        <v>819</v>
      </c>
      <c r="L57" s="2" t="s">
        <v>876</v>
      </c>
      <c r="M57" s="3" t="s">
        <v>1168</v>
      </c>
      <c r="N57" s="2" t="s">
        <v>1305</v>
      </c>
      <c r="O57" s="3" t="s">
        <v>2273</v>
      </c>
      <c r="P57" s="3" t="s">
        <v>1395</v>
      </c>
      <c r="Q57" s="3" t="s">
        <v>1439</v>
      </c>
      <c r="R57" s="3" t="s">
        <v>1685</v>
      </c>
      <c r="S57" s="6" t="s">
        <v>277</v>
      </c>
      <c r="U57" s="6" t="s">
        <v>1850</v>
      </c>
      <c r="W57" s="2" t="s">
        <v>1920</v>
      </c>
      <c r="Y57" s="2" t="s">
        <v>2028</v>
      </c>
      <c r="Z57" s="2" t="s">
        <v>2148</v>
      </c>
      <c r="AA57" s="2" t="s">
        <v>2256</v>
      </c>
      <c r="AB57" s="1"/>
      <c r="AC57" s="1"/>
      <c r="AD57" s="1"/>
      <c r="AE57" s="1"/>
      <c r="AF57" s="1"/>
      <c r="AG57" s="1"/>
      <c r="AI57" s="1" t="s">
        <v>1520</v>
      </c>
    </row>
    <row r="58" spans="1:35" x14ac:dyDescent="0.3">
      <c r="A58" s="6" t="s">
        <v>2464</v>
      </c>
      <c r="B58" s="3" t="s">
        <v>154</v>
      </c>
      <c r="C58" s="3" t="s">
        <v>282</v>
      </c>
      <c r="D58" s="2" t="s">
        <v>366</v>
      </c>
      <c r="E58" s="2" t="s">
        <v>434</v>
      </c>
      <c r="F58" s="2" t="s">
        <v>640</v>
      </c>
      <c r="H58" s="6" t="s">
        <v>964</v>
      </c>
      <c r="K58" s="2" t="s">
        <v>820</v>
      </c>
      <c r="L58" s="2" t="s">
        <v>877</v>
      </c>
      <c r="M58" s="2" t="s">
        <v>1212</v>
      </c>
      <c r="N58" s="6" t="s">
        <v>1250</v>
      </c>
      <c r="O58" s="3" t="s">
        <v>1312</v>
      </c>
      <c r="P58" s="3" t="s">
        <v>1368</v>
      </c>
      <c r="Q58" s="2" t="s">
        <v>1458</v>
      </c>
      <c r="R58" s="2" t="s">
        <v>1699</v>
      </c>
      <c r="S58" s="6" t="s">
        <v>1627</v>
      </c>
      <c r="U58" s="6" t="s">
        <v>1834</v>
      </c>
      <c r="W58" s="2" t="s">
        <v>1905</v>
      </c>
      <c r="Y58" s="2" t="s">
        <v>2087</v>
      </c>
      <c r="Z58" s="2" t="s">
        <v>2295</v>
      </c>
      <c r="AA58" s="2" t="s">
        <v>2218</v>
      </c>
      <c r="AB58" s="1"/>
      <c r="AC58" s="1"/>
      <c r="AD58" s="1"/>
      <c r="AE58" s="1"/>
      <c r="AF58" s="1"/>
      <c r="AG58" s="1"/>
      <c r="AI58" s="1" t="s">
        <v>1519</v>
      </c>
    </row>
    <row r="59" spans="1:35" x14ac:dyDescent="0.3">
      <c r="A59" s="7" t="s">
        <v>1485</v>
      </c>
      <c r="B59" s="3" t="s">
        <v>155</v>
      </c>
      <c r="C59" s="3" t="s">
        <v>283</v>
      </c>
      <c r="D59" s="3" t="s">
        <v>367</v>
      </c>
      <c r="E59" s="2" t="s">
        <v>435</v>
      </c>
      <c r="F59" s="2" t="s">
        <v>658</v>
      </c>
      <c r="H59" s="6" t="s">
        <v>965</v>
      </c>
      <c r="K59" s="2" t="s">
        <v>2010</v>
      </c>
      <c r="L59" s="3" t="s">
        <v>878</v>
      </c>
      <c r="M59" s="6" t="s">
        <v>1162</v>
      </c>
      <c r="N59" s="6" t="s">
        <v>1254</v>
      </c>
      <c r="O59" s="3" t="s">
        <v>1330</v>
      </c>
      <c r="P59" s="3" t="s">
        <v>1367</v>
      </c>
      <c r="Q59" s="1" t="s">
        <v>2416</v>
      </c>
      <c r="R59" s="3" t="s">
        <v>1692</v>
      </c>
      <c r="S59" s="6" t="s">
        <v>1632</v>
      </c>
      <c r="U59" s="6" t="s">
        <v>1791</v>
      </c>
      <c r="W59" s="6" t="s">
        <v>1930</v>
      </c>
      <c r="Y59" s="2" t="s">
        <v>985</v>
      </c>
      <c r="Z59" s="2" t="s">
        <v>2150</v>
      </c>
      <c r="AA59" s="2" t="s">
        <v>2195</v>
      </c>
      <c r="AB59" s="1"/>
      <c r="AC59" s="1"/>
      <c r="AD59" s="1"/>
      <c r="AE59" s="1"/>
      <c r="AF59" s="1"/>
      <c r="AG59" s="1"/>
      <c r="AI59" s="1" t="s">
        <v>1526</v>
      </c>
    </row>
    <row r="60" spans="1:35" x14ac:dyDescent="0.3">
      <c r="A60" s="7" t="s">
        <v>1484</v>
      </c>
      <c r="B60" s="3" t="s">
        <v>156</v>
      </c>
      <c r="C60" s="2" t="s">
        <v>284</v>
      </c>
      <c r="D60" s="3" t="s">
        <v>368</v>
      </c>
      <c r="E60" s="2" t="s">
        <v>436</v>
      </c>
      <c r="F60" s="2" t="s">
        <v>610</v>
      </c>
      <c r="H60" s="2" t="s">
        <v>966</v>
      </c>
      <c r="K60" s="6" t="s">
        <v>821</v>
      </c>
      <c r="L60" s="2" t="s">
        <v>879</v>
      </c>
      <c r="M60" s="3" t="s">
        <v>1165</v>
      </c>
      <c r="N60" s="6" t="s">
        <v>1290</v>
      </c>
      <c r="O60" s="3" t="s">
        <v>2269</v>
      </c>
      <c r="P60" s="3" t="s">
        <v>1398</v>
      </c>
      <c r="Q60" s="3" t="s">
        <v>1452</v>
      </c>
      <c r="R60" s="3" t="s">
        <v>1686</v>
      </c>
      <c r="S60" s="6" t="s">
        <v>1584</v>
      </c>
      <c r="U60" s="3" t="s">
        <v>2410</v>
      </c>
      <c r="W60" s="2" t="s">
        <v>1881</v>
      </c>
      <c r="Y60" s="2" t="s">
        <v>2034</v>
      </c>
      <c r="Z60" s="2" t="s">
        <v>2296</v>
      </c>
      <c r="AA60" s="2" t="s">
        <v>2210</v>
      </c>
      <c r="AB60" s="1"/>
      <c r="AC60" s="1"/>
      <c r="AD60" s="1"/>
      <c r="AE60" s="1"/>
      <c r="AF60" s="1"/>
      <c r="AG60" s="1"/>
    </row>
    <row r="61" spans="1:35" x14ac:dyDescent="0.3">
      <c r="A61" s="7" t="s">
        <v>43</v>
      </c>
      <c r="B61" s="3" t="s">
        <v>1475</v>
      </c>
      <c r="C61" s="5" t="s">
        <v>594</v>
      </c>
      <c r="D61" s="2" t="s">
        <v>2387</v>
      </c>
      <c r="E61" s="2" t="s">
        <v>437</v>
      </c>
      <c r="F61" s="2" t="s">
        <v>624</v>
      </c>
      <c r="H61" s="3" t="s">
        <v>967</v>
      </c>
      <c r="K61" s="6" t="s">
        <v>822</v>
      </c>
      <c r="L61" s="2" t="s">
        <v>1072</v>
      </c>
      <c r="M61" s="6" t="s">
        <v>1192</v>
      </c>
      <c r="N61" s="6" t="s">
        <v>1274</v>
      </c>
      <c r="O61" s="3" t="s">
        <v>1340</v>
      </c>
      <c r="P61" s="2" t="s">
        <v>2396</v>
      </c>
      <c r="Q61" s="3" t="s">
        <v>1442</v>
      </c>
      <c r="R61" s="3" t="s">
        <v>1687</v>
      </c>
      <c r="S61" s="6" t="s">
        <v>1618</v>
      </c>
      <c r="U61" s="2" t="s">
        <v>1853</v>
      </c>
      <c r="W61" s="2" t="s">
        <v>1924</v>
      </c>
      <c r="Y61" s="2" t="s">
        <v>2035</v>
      </c>
      <c r="Z61" s="2" t="s">
        <v>2326</v>
      </c>
      <c r="AA61" s="2" t="s">
        <v>2255</v>
      </c>
      <c r="AB61" s="1"/>
      <c r="AC61" s="1"/>
      <c r="AD61" s="1"/>
      <c r="AE61" s="1"/>
      <c r="AF61" s="1"/>
      <c r="AG61" s="1"/>
    </row>
    <row r="62" spans="1:35" x14ac:dyDescent="0.3">
      <c r="A62" s="7" t="s">
        <v>44</v>
      </c>
      <c r="B62" s="3" t="s">
        <v>208</v>
      </c>
      <c r="C62" s="3" t="s">
        <v>285</v>
      </c>
      <c r="D62" s="3" t="s">
        <v>378</v>
      </c>
      <c r="E62" s="2" t="s">
        <v>438</v>
      </c>
      <c r="F62" s="2" t="s">
        <v>660</v>
      </c>
      <c r="H62" s="6" t="s">
        <v>968</v>
      </c>
      <c r="K62" s="6" t="s">
        <v>823</v>
      </c>
      <c r="L62" s="2" t="s">
        <v>880</v>
      </c>
      <c r="M62" s="3" t="s">
        <v>1121</v>
      </c>
      <c r="N62" s="6" t="s">
        <v>1284</v>
      </c>
      <c r="O62" s="3" t="s">
        <v>1332</v>
      </c>
      <c r="P62" s="3" t="s">
        <v>1410</v>
      </c>
      <c r="Q62" s="3" t="s">
        <v>1436</v>
      </c>
      <c r="R62" s="3" t="s">
        <v>1696</v>
      </c>
      <c r="S62" s="6" t="s">
        <v>1595</v>
      </c>
      <c r="U62" s="6" t="s">
        <v>1843</v>
      </c>
      <c r="W62" s="2" t="s">
        <v>1904</v>
      </c>
      <c r="Y62" s="2" t="s">
        <v>290</v>
      </c>
      <c r="Z62" s="2" t="s">
        <v>1372</v>
      </c>
      <c r="AA62" s="2" t="s">
        <v>2222</v>
      </c>
      <c r="AB62" s="1"/>
      <c r="AC62" s="1"/>
      <c r="AD62" s="1"/>
      <c r="AE62" s="1"/>
      <c r="AF62" s="1"/>
      <c r="AG62" s="1"/>
    </row>
    <row r="63" spans="1:35" x14ac:dyDescent="0.3">
      <c r="A63" s="7" t="s">
        <v>45</v>
      </c>
      <c r="B63" s="3" t="s">
        <v>157</v>
      </c>
      <c r="C63" s="2" t="s">
        <v>286</v>
      </c>
      <c r="D63" s="3" t="s">
        <v>369</v>
      </c>
      <c r="E63" s="2" t="s">
        <v>439</v>
      </c>
      <c r="F63" s="2" t="s">
        <v>638</v>
      </c>
      <c r="H63" s="6" t="s">
        <v>969</v>
      </c>
      <c r="K63" s="6" t="s">
        <v>824</v>
      </c>
      <c r="L63" s="3" t="s">
        <v>881</v>
      </c>
      <c r="M63" s="6" t="s">
        <v>1096</v>
      </c>
      <c r="N63" s="6" t="s">
        <v>1260</v>
      </c>
      <c r="O63" s="3" t="s">
        <v>1944</v>
      </c>
      <c r="P63" s="3" t="s">
        <v>1411</v>
      </c>
      <c r="Q63" s="3" t="s">
        <v>1444</v>
      </c>
      <c r="R63" s="3" t="s">
        <v>1704</v>
      </c>
      <c r="S63" s="6" t="s">
        <v>1596</v>
      </c>
      <c r="U63" s="2" t="s">
        <v>2413</v>
      </c>
      <c r="W63" s="2" t="s">
        <v>1885</v>
      </c>
      <c r="Y63" s="2" t="s">
        <v>2060</v>
      </c>
      <c r="Z63" s="2" t="s">
        <v>2170</v>
      </c>
      <c r="AA63" s="2" t="s">
        <v>2226</v>
      </c>
      <c r="AB63" s="1"/>
      <c r="AC63" s="1"/>
      <c r="AD63" s="1"/>
      <c r="AE63" s="1"/>
      <c r="AF63" s="1"/>
      <c r="AG63" s="1"/>
    </row>
    <row r="64" spans="1:35" x14ac:dyDescent="0.3">
      <c r="A64" s="7" t="s">
        <v>46</v>
      </c>
      <c r="B64" s="3" t="s">
        <v>158</v>
      </c>
      <c r="C64" s="3" t="s">
        <v>287</v>
      </c>
      <c r="D64" s="3" t="s">
        <v>370</v>
      </c>
      <c r="E64" s="2" t="s">
        <v>440</v>
      </c>
      <c r="F64" s="2" t="s">
        <v>623</v>
      </c>
      <c r="H64" s="6" t="s">
        <v>970</v>
      </c>
      <c r="K64" s="6" t="s">
        <v>825</v>
      </c>
      <c r="L64" s="2" t="s">
        <v>1074</v>
      </c>
      <c r="M64" s="6" t="s">
        <v>1140</v>
      </c>
      <c r="N64" s="3" t="s">
        <v>1268</v>
      </c>
      <c r="O64" s="3" t="s">
        <v>1945</v>
      </c>
      <c r="P64" s="3" t="s">
        <v>1369</v>
      </c>
      <c r="Q64" s="2" t="s">
        <v>1029</v>
      </c>
      <c r="R64" s="3" t="s">
        <v>1727</v>
      </c>
      <c r="S64" s="6" t="s">
        <v>1617</v>
      </c>
      <c r="U64" s="6" t="s">
        <v>1855</v>
      </c>
      <c r="W64" s="2" t="s">
        <v>1883</v>
      </c>
      <c r="Y64" s="2" t="s">
        <v>2030</v>
      </c>
      <c r="Z64" s="2" t="s">
        <v>2322</v>
      </c>
      <c r="AA64" s="2" t="s">
        <v>2216</v>
      </c>
      <c r="AB64" s="1"/>
      <c r="AC64" s="1"/>
      <c r="AD64" s="1"/>
      <c r="AE64" s="1"/>
      <c r="AF64" s="1"/>
      <c r="AG64" s="1"/>
    </row>
    <row r="65" spans="1:33" x14ac:dyDescent="0.3">
      <c r="A65" s="7" t="s">
        <v>47</v>
      </c>
      <c r="B65" s="3" t="s">
        <v>209</v>
      </c>
      <c r="C65" s="2" t="s">
        <v>288</v>
      </c>
      <c r="D65" s="2" t="s">
        <v>2389</v>
      </c>
      <c r="E65" s="2" t="s">
        <v>441</v>
      </c>
      <c r="F65" s="2" t="s">
        <v>647</v>
      </c>
      <c r="H65" s="6" t="s">
        <v>971</v>
      </c>
      <c r="L65" s="2" t="s">
        <v>1075</v>
      </c>
      <c r="M65" s="6" t="s">
        <v>1178</v>
      </c>
      <c r="N65" s="2" t="s">
        <v>1251</v>
      </c>
      <c r="O65" s="3" t="s">
        <v>2262</v>
      </c>
      <c r="P65" s="3" t="s">
        <v>1357</v>
      </c>
      <c r="Q65" s="3" t="s">
        <v>1425</v>
      </c>
      <c r="R65" s="3" t="s">
        <v>1730</v>
      </c>
      <c r="S65" s="6" t="s">
        <v>1575</v>
      </c>
      <c r="U65" s="6" t="s">
        <v>1815</v>
      </c>
      <c r="W65" s="2" t="s">
        <v>1874</v>
      </c>
      <c r="Y65" s="2" t="s">
        <v>2081</v>
      </c>
      <c r="Z65" s="2" t="s">
        <v>2309</v>
      </c>
      <c r="AA65" s="2" t="s">
        <v>2235</v>
      </c>
      <c r="AB65" s="1"/>
      <c r="AC65" s="1"/>
      <c r="AD65" s="1"/>
      <c r="AE65" s="1"/>
      <c r="AF65" s="1"/>
      <c r="AG65" s="1"/>
    </row>
    <row r="66" spans="1:33" x14ac:dyDescent="0.3">
      <c r="A66" s="7" t="s">
        <v>48</v>
      </c>
      <c r="B66" s="3" t="s">
        <v>210</v>
      </c>
      <c r="C66" s="3" t="s">
        <v>289</v>
      </c>
      <c r="D66" s="3" t="s">
        <v>371</v>
      </c>
      <c r="E66" s="2" t="s">
        <v>442</v>
      </c>
      <c r="F66" s="2" t="s">
        <v>620</v>
      </c>
      <c r="H66" s="6" t="s">
        <v>972</v>
      </c>
      <c r="L66" s="3" t="s">
        <v>882</v>
      </c>
      <c r="M66" s="6" t="s">
        <v>1148</v>
      </c>
      <c r="N66" s="6" t="s">
        <v>1282</v>
      </c>
      <c r="O66" s="3" t="s">
        <v>1318</v>
      </c>
      <c r="P66" s="3" t="s">
        <v>176</v>
      </c>
      <c r="Q66" s="2" t="s">
        <v>1466</v>
      </c>
      <c r="R66" s="3" t="s">
        <v>1698</v>
      </c>
      <c r="S66" s="6" t="s">
        <v>1638</v>
      </c>
      <c r="U66" s="2" t="s">
        <v>1856</v>
      </c>
      <c r="W66" s="2" t="s">
        <v>1889</v>
      </c>
      <c r="Y66" s="2" t="s">
        <v>2066</v>
      </c>
      <c r="Z66" s="2" t="s">
        <v>2327</v>
      </c>
      <c r="AA66" s="2" t="s">
        <v>2237</v>
      </c>
      <c r="AB66" s="1"/>
      <c r="AC66" s="1"/>
      <c r="AD66" s="1"/>
      <c r="AE66" s="1"/>
      <c r="AF66" s="1"/>
      <c r="AG66" s="1"/>
    </row>
    <row r="67" spans="1:33" x14ac:dyDescent="0.3">
      <c r="A67" s="7" t="s">
        <v>49</v>
      </c>
      <c r="B67" s="3" t="s">
        <v>211</v>
      </c>
      <c r="C67" s="3" t="s">
        <v>290</v>
      </c>
      <c r="D67" s="2" t="s">
        <v>2392</v>
      </c>
      <c r="E67" s="2" t="s">
        <v>443</v>
      </c>
      <c r="F67" s="2" t="s">
        <v>617</v>
      </c>
      <c r="H67" s="6" t="s">
        <v>973</v>
      </c>
      <c r="L67" s="2" t="s">
        <v>883</v>
      </c>
      <c r="M67" s="3" t="s">
        <v>1164</v>
      </c>
      <c r="N67" s="6" t="s">
        <v>1262</v>
      </c>
      <c r="O67" s="3" t="s">
        <v>1343</v>
      </c>
      <c r="P67" s="3" t="s">
        <v>1400</v>
      </c>
      <c r="Q67" s="2" t="s">
        <v>1471</v>
      </c>
      <c r="R67" s="6" t="s">
        <v>1679</v>
      </c>
      <c r="S67" s="6" t="s">
        <v>1309</v>
      </c>
      <c r="U67" s="6" t="s">
        <v>1847</v>
      </c>
      <c r="W67" s="6" t="s">
        <v>1870</v>
      </c>
      <c r="Y67" s="2" t="s">
        <v>2099</v>
      </c>
      <c r="Z67" s="2" t="s">
        <v>2298</v>
      </c>
      <c r="AA67" s="2" t="s">
        <v>2259</v>
      </c>
      <c r="AB67" s="1"/>
      <c r="AC67" s="1"/>
      <c r="AD67" s="1"/>
      <c r="AE67" s="1"/>
      <c r="AF67" s="1"/>
      <c r="AG67" s="1"/>
    </row>
    <row r="68" spans="1:33" x14ac:dyDescent="0.3">
      <c r="A68" s="7" t="s">
        <v>50</v>
      </c>
      <c r="B68" s="3" t="s">
        <v>1235</v>
      </c>
      <c r="C68" s="3" t="s">
        <v>291</v>
      </c>
      <c r="E68" s="2" t="s">
        <v>444</v>
      </c>
      <c r="F68" s="2" t="s">
        <v>629</v>
      </c>
      <c r="H68" s="3" t="s">
        <v>974</v>
      </c>
      <c r="L68" s="2" t="s">
        <v>1077</v>
      </c>
      <c r="M68" s="5" t="s">
        <v>2185</v>
      </c>
      <c r="N68" s="6" t="s">
        <v>1246</v>
      </c>
      <c r="O68" s="3" t="s">
        <v>1314</v>
      </c>
      <c r="P68" s="3" t="s">
        <v>1401</v>
      </c>
      <c r="Q68" s="6" t="s">
        <v>1440</v>
      </c>
      <c r="R68" s="3" t="s">
        <v>889</v>
      </c>
      <c r="S68" s="6" t="s">
        <v>1606</v>
      </c>
      <c r="U68" s="6" t="s">
        <v>1833</v>
      </c>
      <c r="W68" s="6" t="s">
        <v>1906</v>
      </c>
      <c r="Y68" s="2" t="s">
        <v>2094</v>
      </c>
      <c r="Z68" s="2" t="s">
        <v>2317</v>
      </c>
      <c r="AA68" s="2" t="s">
        <v>2201</v>
      </c>
      <c r="AB68" s="1"/>
      <c r="AC68" s="1"/>
      <c r="AD68" s="1"/>
      <c r="AE68" s="1"/>
      <c r="AF68" s="1"/>
      <c r="AG68" s="1"/>
    </row>
    <row r="69" spans="1:33" x14ac:dyDescent="0.3">
      <c r="A69" s="6" t="s">
        <v>2469</v>
      </c>
      <c r="B69" s="3" t="s">
        <v>159</v>
      </c>
      <c r="C69" s="2" t="s">
        <v>292</v>
      </c>
      <c r="E69" s="2" t="s">
        <v>445</v>
      </c>
      <c r="F69" s="2" t="s">
        <v>642</v>
      </c>
      <c r="H69" s="6" t="s">
        <v>975</v>
      </c>
      <c r="L69" s="2" t="s">
        <v>1069</v>
      </c>
      <c r="M69" s="6" t="s">
        <v>1102</v>
      </c>
      <c r="N69" s="2" t="s">
        <v>1252</v>
      </c>
      <c r="O69" s="3" t="s">
        <v>1320</v>
      </c>
      <c r="P69" s="3" t="s">
        <v>1362</v>
      </c>
      <c r="Q69" s="3" t="s">
        <v>2106</v>
      </c>
      <c r="R69" s="3" t="s">
        <v>1683</v>
      </c>
      <c r="S69" s="2" t="s">
        <v>1600</v>
      </c>
      <c r="U69" s="6" t="s">
        <v>1846</v>
      </c>
      <c r="W69" s="6" t="s">
        <v>1862</v>
      </c>
      <c r="Y69" s="2" t="s">
        <v>2026</v>
      </c>
      <c r="Z69" s="2" t="s">
        <v>2282</v>
      </c>
      <c r="AA69" s="2" t="s">
        <v>2196</v>
      </c>
      <c r="AB69" s="1"/>
      <c r="AC69" s="1"/>
      <c r="AD69" s="1"/>
      <c r="AE69" s="1"/>
      <c r="AF69" s="1"/>
      <c r="AG69" s="1"/>
    </row>
    <row r="70" spans="1:33" x14ac:dyDescent="0.3">
      <c r="A70" s="7" t="s">
        <v>51</v>
      </c>
      <c r="B70" s="3" t="s">
        <v>160</v>
      </c>
      <c r="C70" s="3" t="s">
        <v>293</v>
      </c>
      <c r="E70" s="2" t="s">
        <v>446</v>
      </c>
      <c r="F70" s="2" t="s">
        <v>185</v>
      </c>
      <c r="H70" s="6" t="s">
        <v>976</v>
      </c>
      <c r="L70" s="6" t="s">
        <v>884</v>
      </c>
      <c r="M70" s="2" t="s">
        <v>1123</v>
      </c>
      <c r="N70" s="2" t="s">
        <v>1249</v>
      </c>
      <c r="O70" s="3" t="s">
        <v>1315</v>
      </c>
      <c r="P70" s="3" t="s">
        <v>1383</v>
      </c>
      <c r="Q70" s="6" t="s">
        <v>1463</v>
      </c>
      <c r="R70" s="6" t="s">
        <v>1857</v>
      </c>
      <c r="S70" s="6" t="s">
        <v>1565</v>
      </c>
      <c r="U70" s="6" t="s">
        <v>1829</v>
      </c>
      <c r="W70" s="2" t="s">
        <v>1928</v>
      </c>
      <c r="Y70" s="2" t="s">
        <v>2098</v>
      </c>
      <c r="Z70" s="2" t="s">
        <v>2283</v>
      </c>
      <c r="AA70" s="2" t="s">
        <v>2213</v>
      </c>
      <c r="AB70" s="1"/>
      <c r="AC70" s="1"/>
      <c r="AD70" s="1"/>
      <c r="AE70" s="1"/>
      <c r="AF70" s="1"/>
      <c r="AG70" s="1"/>
    </row>
    <row r="71" spans="1:33" x14ac:dyDescent="0.3">
      <c r="A71" s="7" t="s">
        <v>52</v>
      </c>
      <c r="B71" s="3" t="s">
        <v>212</v>
      </c>
      <c r="C71" s="3" t="s">
        <v>294</v>
      </c>
      <c r="E71" s="2" t="s">
        <v>447</v>
      </c>
      <c r="F71" s="2" t="s">
        <v>615</v>
      </c>
      <c r="H71" s="2" t="s">
        <v>977</v>
      </c>
      <c r="L71" s="3" t="s">
        <v>885</v>
      </c>
      <c r="M71" s="3" t="s">
        <v>1959</v>
      </c>
      <c r="N71" s="3" t="s">
        <v>1292</v>
      </c>
      <c r="O71" s="3" t="s">
        <v>1946</v>
      </c>
      <c r="P71" s="6" t="s">
        <v>2398</v>
      </c>
      <c r="Q71" s="3" t="s">
        <v>1435</v>
      </c>
      <c r="R71" s="3" t="s">
        <v>1737</v>
      </c>
      <c r="S71" s="6" t="s">
        <v>1590</v>
      </c>
      <c r="U71" s="2" t="s">
        <v>1802</v>
      </c>
      <c r="W71" s="6" t="s">
        <v>1903</v>
      </c>
      <c r="Y71" s="2" t="s">
        <v>2092</v>
      </c>
      <c r="Z71" s="2" t="s">
        <v>2130</v>
      </c>
      <c r="AA71" s="2" t="s">
        <v>2227</v>
      </c>
      <c r="AB71" s="1"/>
      <c r="AC71" s="1"/>
      <c r="AD71" s="1"/>
      <c r="AE71" s="1"/>
      <c r="AF71" s="1"/>
      <c r="AG71" s="1"/>
    </row>
    <row r="72" spans="1:33" x14ac:dyDescent="0.3">
      <c r="A72" s="7" t="s">
        <v>53</v>
      </c>
      <c r="B72" s="3" t="s">
        <v>161</v>
      </c>
      <c r="C72" s="3" t="s">
        <v>295</v>
      </c>
      <c r="E72" s="2" t="s">
        <v>448</v>
      </c>
      <c r="F72" s="2" t="s">
        <v>631</v>
      </c>
      <c r="H72" s="6" t="s">
        <v>978</v>
      </c>
      <c r="L72" s="6" t="s">
        <v>886</v>
      </c>
      <c r="M72" s="6" t="s">
        <v>1205</v>
      </c>
      <c r="N72" s="3" t="s">
        <v>1302</v>
      </c>
      <c r="O72" s="3" t="s">
        <v>1042</v>
      </c>
      <c r="P72" s="3" t="s">
        <v>1391</v>
      </c>
      <c r="Q72" s="3" t="s">
        <v>185</v>
      </c>
      <c r="R72" s="3" t="s">
        <v>644</v>
      </c>
      <c r="S72" s="6" t="s">
        <v>1574</v>
      </c>
      <c r="U72" s="3" t="s">
        <v>1826</v>
      </c>
      <c r="W72" s="6" t="s">
        <v>2102</v>
      </c>
      <c r="Y72" s="2" t="s">
        <v>2016</v>
      </c>
      <c r="Z72" s="2" t="s">
        <v>2294</v>
      </c>
      <c r="AA72" s="2" t="s">
        <v>2221</v>
      </c>
      <c r="AB72" s="1"/>
      <c r="AC72" s="1"/>
      <c r="AD72" s="1"/>
      <c r="AE72" s="1"/>
      <c r="AF72" s="1"/>
      <c r="AG72" s="1"/>
    </row>
    <row r="73" spans="1:33" x14ac:dyDescent="0.3">
      <c r="A73" s="7" t="s">
        <v>1488</v>
      </c>
      <c r="B73" s="3" t="s">
        <v>213</v>
      </c>
      <c r="C73" s="3" t="s">
        <v>296</v>
      </c>
      <c r="E73" s="2" t="s">
        <v>449</v>
      </c>
      <c r="F73" s="2" t="s">
        <v>643</v>
      </c>
      <c r="H73" s="3" t="s">
        <v>979</v>
      </c>
      <c r="L73" s="2" t="s">
        <v>887</v>
      </c>
      <c r="M73" s="6" t="s">
        <v>1146</v>
      </c>
      <c r="N73" s="3" t="s">
        <v>1291</v>
      </c>
      <c r="O73" s="3" t="s">
        <v>1317</v>
      </c>
      <c r="P73" s="3" t="s">
        <v>1363</v>
      </c>
      <c r="Q73" s="6" t="s">
        <v>1455</v>
      </c>
      <c r="R73" s="3" t="s">
        <v>1689</v>
      </c>
      <c r="S73" s="2" t="s">
        <v>1650</v>
      </c>
      <c r="U73" s="2" t="s">
        <v>1793</v>
      </c>
      <c r="W73" s="2" t="s">
        <v>1931</v>
      </c>
      <c r="Y73" s="2" t="s">
        <v>601</v>
      </c>
      <c r="Z73" s="2" t="s">
        <v>2121</v>
      </c>
    </row>
    <row r="74" spans="1:33" x14ac:dyDescent="0.3">
      <c r="A74" s="7" t="s">
        <v>54</v>
      </c>
      <c r="B74" s="3" t="s">
        <v>1474</v>
      </c>
      <c r="C74" s="3" t="s">
        <v>297</v>
      </c>
      <c r="E74" s="2" t="s">
        <v>450</v>
      </c>
      <c r="H74" s="6" t="s">
        <v>980</v>
      </c>
      <c r="L74" s="2" t="s">
        <v>888</v>
      </c>
      <c r="M74" s="3" t="s">
        <v>1964</v>
      </c>
      <c r="N74" s="2" t="s">
        <v>1264</v>
      </c>
      <c r="P74" s="3" t="s">
        <v>1389</v>
      </c>
      <c r="Q74" s="6" t="s">
        <v>2439</v>
      </c>
      <c r="R74" s="6" t="s">
        <v>1671</v>
      </c>
      <c r="S74" s="6" t="s">
        <v>1585</v>
      </c>
      <c r="U74" s="3" t="s">
        <v>1805</v>
      </c>
      <c r="W74" s="2" t="s">
        <v>1877</v>
      </c>
      <c r="Y74" s="2" t="s">
        <v>2065</v>
      </c>
      <c r="Z74" s="2" t="s">
        <v>2151</v>
      </c>
    </row>
    <row r="75" spans="1:33" x14ac:dyDescent="0.3">
      <c r="A75" s="7" t="s">
        <v>2006</v>
      </c>
      <c r="B75" s="3" t="s">
        <v>1242</v>
      </c>
      <c r="C75" s="5" t="s">
        <v>596</v>
      </c>
      <c r="E75" s="2" t="s">
        <v>451</v>
      </c>
      <c r="H75" s="6" t="s">
        <v>981</v>
      </c>
      <c r="L75" s="2" t="s">
        <v>889</v>
      </c>
      <c r="M75" s="3" t="s">
        <v>1954</v>
      </c>
      <c r="N75" s="6" t="s">
        <v>1289</v>
      </c>
      <c r="P75" s="2" t="s">
        <v>2401</v>
      </c>
      <c r="Q75" s="2" t="s">
        <v>2470</v>
      </c>
      <c r="R75" s="6" t="s">
        <v>1716</v>
      </c>
      <c r="S75" s="6" t="s">
        <v>1570</v>
      </c>
      <c r="U75" s="2" t="s">
        <v>2411</v>
      </c>
      <c r="W75" s="2" t="s">
        <v>1865</v>
      </c>
      <c r="Y75" s="2" t="s">
        <v>2036</v>
      </c>
      <c r="Z75" s="2" t="s">
        <v>2122</v>
      </c>
    </row>
    <row r="76" spans="1:33" x14ac:dyDescent="0.3">
      <c r="A76" s="7" t="s">
        <v>55</v>
      </c>
      <c r="B76" s="3" t="s">
        <v>1241</v>
      </c>
      <c r="C76" s="3" t="s">
        <v>298</v>
      </c>
      <c r="E76" s="2" t="s">
        <v>452</v>
      </c>
      <c r="H76" s="6" t="s">
        <v>982</v>
      </c>
      <c r="L76" s="3" t="s">
        <v>890</v>
      </c>
      <c r="M76" s="6" t="s">
        <v>1112</v>
      </c>
      <c r="N76" s="2" t="s">
        <v>1255</v>
      </c>
      <c r="P76" s="3" t="s">
        <v>1413</v>
      </c>
      <c r="Q76" s="2" t="s">
        <v>2471</v>
      </c>
      <c r="R76" s="3" t="s">
        <v>1688</v>
      </c>
      <c r="S76" s="6" t="s">
        <v>1587</v>
      </c>
      <c r="U76" s="2" t="s">
        <v>1804</v>
      </c>
      <c r="W76" s="2" t="s">
        <v>1909</v>
      </c>
      <c r="Y76" s="2" t="s">
        <v>2018</v>
      </c>
      <c r="Z76" s="2" t="s">
        <v>2174</v>
      </c>
    </row>
    <row r="77" spans="1:33" x14ac:dyDescent="0.3">
      <c r="A77" s="7" t="s">
        <v>56</v>
      </c>
      <c r="B77" s="3" t="s">
        <v>214</v>
      </c>
      <c r="C77" s="5" t="s">
        <v>593</v>
      </c>
      <c r="E77" s="2" t="s">
        <v>453</v>
      </c>
      <c r="H77" s="3" t="s">
        <v>983</v>
      </c>
      <c r="L77" s="2" t="s">
        <v>891</v>
      </c>
      <c r="M77" s="2" t="s">
        <v>1157</v>
      </c>
      <c r="P77" s="3" t="s">
        <v>1355</v>
      </c>
      <c r="Q77" s="2" t="s">
        <v>644</v>
      </c>
      <c r="R77" s="3" t="s">
        <v>1705</v>
      </c>
      <c r="S77" s="2" t="s">
        <v>1648</v>
      </c>
      <c r="U77" s="2" t="s">
        <v>1840</v>
      </c>
      <c r="W77" s="2" t="s">
        <v>1871</v>
      </c>
      <c r="Y77" s="2" t="s">
        <v>2019</v>
      </c>
      <c r="Z77" s="2" t="s">
        <v>2286</v>
      </c>
    </row>
    <row r="78" spans="1:33" x14ac:dyDescent="0.3">
      <c r="A78" s="7" t="s">
        <v>57</v>
      </c>
      <c r="B78" s="3" t="s">
        <v>215</v>
      </c>
      <c r="C78" s="5" t="s">
        <v>598</v>
      </c>
      <c r="E78" s="2" t="s">
        <v>454</v>
      </c>
      <c r="H78" s="6" t="s">
        <v>984</v>
      </c>
      <c r="L78" s="3" t="s">
        <v>892</v>
      </c>
      <c r="M78" s="3" t="s">
        <v>1962</v>
      </c>
      <c r="Q78" s="2" t="s">
        <v>2472</v>
      </c>
      <c r="R78" s="3" t="s">
        <v>1681</v>
      </c>
      <c r="S78" s="6" t="s">
        <v>1665</v>
      </c>
      <c r="U78" s="2" t="s">
        <v>2403</v>
      </c>
      <c r="W78" s="2" t="s">
        <v>1896</v>
      </c>
      <c r="Y78" s="2" t="s">
        <v>2020</v>
      </c>
      <c r="Z78" s="2" t="s">
        <v>2299</v>
      </c>
    </row>
    <row r="79" spans="1:33" x14ac:dyDescent="0.3">
      <c r="A79" s="7" t="s">
        <v>58</v>
      </c>
      <c r="B79" s="3" t="s">
        <v>162</v>
      </c>
      <c r="C79" s="3" t="s">
        <v>170</v>
      </c>
      <c r="E79" s="2" t="s">
        <v>455</v>
      </c>
      <c r="H79" s="6" t="s">
        <v>985</v>
      </c>
      <c r="L79" s="6" t="s">
        <v>893</v>
      </c>
      <c r="M79" s="6" t="s">
        <v>1095</v>
      </c>
      <c r="Q79" s="2" t="s">
        <v>2473</v>
      </c>
      <c r="S79" s="6" t="s">
        <v>1623</v>
      </c>
      <c r="U79" s="3" t="s">
        <v>1790</v>
      </c>
      <c r="W79" s="2" t="s">
        <v>1922</v>
      </c>
      <c r="Y79" s="2" t="s">
        <v>2024</v>
      </c>
      <c r="Z79" s="2" t="s">
        <v>2280</v>
      </c>
    </row>
    <row r="80" spans="1:33" x14ac:dyDescent="0.3">
      <c r="A80" s="7" t="s">
        <v>59</v>
      </c>
      <c r="B80" s="3" t="s">
        <v>216</v>
      </c>
      <c r="C80" s="3" t="s">
        <v>299</v>
      </c>
      <c r="E80" s="2" t="s">
        <v>456</v>
      </c>
      <c r="H80" s="6" t="s">
        <v>986</v>
      </c>
      <c r="L80" s="2" t="s">
        <v>1070</v>
      </c>
      <c r="M80" s="3" t="s">
        <v>1955</v>
      </c>
      <c r="Q80" s="2" t="s">
        <v>2474</v>
      </c>
      <c r="S80" s="2" t="s">
        <v>1604</v>
      </c>
      <c r="U80" s="2" t="s">
        <v>1849</v>
      </c>
      <c r="W80" s="2" t="s">
        <v>1935</v>
      </c>
      <c r="Y80" s="2" t="s">
        <v>2076</v>
      </c>
      <c r="Z80" s="2" t="s">
        <v>2285</v>
      </c>
    </row>
    <row r="81" spans="1:26" x14ac:dyDescent="0.3">
      <c r="A81" s="7" t="s">
        <v>60</v>
      </c>
      <c r="B81" s="3" t="s">
        <v>163</v>
      </c>
      <c r="C81" s="2" t="s">
        <v>300</v>
      </c>
      <c r="E81" s="2" t="s">
        <v>457</v>
      </c>
      <c r="H81" s="6" t="s">
        <v>987</v>
      </c>
      <c r="L81" s="2" t="s">
        <v>762</v>
      </c>
      <c r="M81" s="6" t="s">
        <v>1088</v>
      </c>
      <c r="Q81" s="2" t="s">
        <v>2475</v>
      </c>
      <c r="S81" s="2" t="s">
        <v>1644</v>
      </c>
      <c r="U81" s="6" t="s">
        <v>1813</v>
      </c>
      <c r="W81" s="6" t="s">
        <v>1876</v>
      </c>
      <c r="Y81" s="2" t="s">
        <v>2077</v>
      </c>
      <c r="Z81" s="2" t="s">
        <v>2160</v>
      </c>
    </row>
    <row r="82" spans="1:26" x14ac:dyDescent="0.3">
      <c r="A82" s="7" t="s">
        <v>61</v>
      </c>
      <c r="B82" s="3" t="s">
        <v>164</v>
      </c>
      <c r="C82" s="3" t="s">
        <v>301</v>
      </c>
      <c r="E82" s="2" t="s">
        <v>458</v>
      </c>
      <c r="H82" s="2" t="s">
        <v>988</v>
      </c>
      <c r="L82" s="6" t="s">
        <v>894</v>
      </c>
      <c r="M82" s="3" t="s">
        <v>1951</v>
      </c>
      <c r="Q82" s="2" t="s">
        <v>2476</v>
      </c>
      <c r="S82" s="2" t="s">
        <v>1636</v>
      </c>
      <c r="U82" s="2" t="s">
        <v>1818</v>
      </c>
      <c r="W82" s="2" t="s">
        <v>1908</v>
      </c>
      <c r="Y82" s="2" t="s">
        <v>2068</v>
      </c>
      <c r="Z82" s="2" t="s">
        <v>2290</v>
      </c>
    </row>
    <row r="83" spans="1:26" x14ac:dyDescent="0.3">
      <c r="A83" s="7" t="s">
        <v>62</v>
      </c>
      <c r="B83" s="3" t="s">
        <v>217</v>
      </c>
      <c r="C83" s="3" t="s">
        <v>302</v>
      </c>
      <c r="E83" s="2" t="s">
        <v>459</v>
      </c>
      <c r="H83" s="2" t="s">
        <v>989</v>
      </c>
      <c r="L83" s="2" t="s">
        <v>895</v>
      </c>
      <c r="M83" s="3" t="s">
        <v>1214</v>
      </c>
      <c r="Q83" s="2" t="s">
        <v>2477</v>
      </c>
      <c r="S83" s="2" t="s">
        <v>1624</v>
      </c>
      <c r="U83" s="2" t="s">
        <v>1789</v>
      </c>
      <c r="W83" s="2" t="s">
        <v>1926</v>
      </c>
      <c r="Y83" s="2" t="s">
        <v>2052</v>
      </c>
      <c r="Z83" s="2" t="s">
        <v>2161</v>
      </c>
    </row>
    <row r="84" spans="1:26" x14ac:dyDescent="0.3">
      <c r="A84" s="7" t="s">
        <v>63</v>
      </c>
      <c r="B84" s="3" t="s">
        <v>165</v>
      </c>
      <c r="C84" s="3" t="s">
        <v>303</v>
      </c>
      <c r="E84" s="2" t="s">
        <v>460</v>
      </c>
      <c r="H84" s="6" t="s">
        <v>2179</v>
      </c>
      <c r="L84" s="6" t="s">
        <v>1477</v>
      </c>
      <c r="M84" s="2" t="s">
        <v>1137</v>
      </c>
      <c r="Q84" s="2" t="s">
        <v>2478</v>
      </c>
      <c r="S84" s="2" t="s">
        <v>1567</v>
      </c>
      <c r="Y84" s="2" t="s">
        <v>2058</v>
      </c>
      <c r="Z84" s="2" t="s">
        <v>2146</v>
      </c>
    </row>
    <row r="85" spans="1:26" x14ac:dyDescent="0.3">
      <c r="A85" s="7" t="s">
        <v>1478</v>
      </c>
      <c r="B85" s="3" t="s">
        <v>166</v>
      </c>
      <c r="C85" s="3" t="s">
        <v>304</v>
      </c>
      <c r="E85" s="2" t="s">
        <v>461</v>
      </c>
      <c r="H85" s="3" t="s">
        <v>990</v>
      </c>
      <c r="L85" s="6" t="s">
        <v>896</v>
      </c>
      <c r="M85" s="6" t="s">
        <v>1965</v>
      </c>
      <c r="S85" s="2" t="s">
        <v>1613</v>
      </c>
      <c r="Y85" s="2" t="s">
        <v>2037</v>
      </c>
      <c r="Z85" s="2" t="s">
        <v>2311</v>
      </c>
    </row>
    <row r="86" spans="1:26" x14ac:dyDescent="0.3">
      <c r="A86" s="7" t="s">
        <v>64</v>
      </c>
      <c r="B86" s="3" t="s">
        <v>167</v>
      </c>
      <c r="C86" s="3" t="s">
        <v>305</v>
      </c>
      <c r="E86" s="2" t="s">
        <v>462</v>
      </c>
      <c r="H86" s="3" t="s">
        <v>991</v>
      </c>
      <c r="L86" s="3" t="s">
        <v>897</v>
      </c>
      <c r="M86" s="2" t="s">
        <v>1079</v>
      </c>
      <c r="S86" s="2" t="s">
        <v>1663</v>
      </c>
      <c r="Y86" s="2" t="s">
        <v>2047</v>
      </c>
      <c r="Z86" s="2" t="s">
        <v>2119</v>
      </c>
    </row>
    <row r="87" spans="1:26" x14ac:dyDescent="0.3">
      <c r="A87" s="7" t="s">
        <v>65</v>
      </c>
      <c r="B87" s="3" t="s">
        <v>218</v>
      </c>
      <c r="C87" s="3" t="s">
        <v>306</v>
      </c>
      <c r="E87" s="2" t="s">
        <v>463</v>
      </c>
      <c r="H87" s="6" t="s">
        <v>992</v>
      </c>
      <c r="L87" s="2" t="s">
        <v>898</v>
      </c>
      <c r="M87" s="3" t="s">
        <v>1948</v>
      </c>
      <c r="S87" s="2" t="s">
        <v>1597</v>
      </c>
      <c r="Y87" s="2" t="s">
        <v>2097</v>
      </c>
      <c r="Z87" s="2" t="s">
        <v>2301</v>
      </c>
    </row>
    <row r="88" spans="1:26" x14ac:dyDescent="0.3">
      <c r="A88" s="7" t="s">
        <v>66</v>
      </c>
      <c r="B88" s="3" t="s">
        <v>219</v>
      </c>
      <c r="C88" s="3" t="s">
        <v>307</v>
      </c>
      <c r="E88" s="2" t="s">
        <v>464</v>
      </c>
      <c r="H88" s="6" t="s">
        <v>2181</v>
      </c>
      <c r="L88" s="2" t="s">
        <v>899</v>
      </c>
      <c r="M88" s="3" t="s">
        <v>1145</v>
      </c>
      <c r="S88" s="2" t="s">
        <v>1612</v>
      </c>
      <c r="Y88" s="2" t="s">
        <v>2057</v>
      </c>
      <c r="Z88" s="2" t="s">
        <v>2308</v>
      </c>
    </row>
    <row r="89" spans="1:26" x14ac:dyDescent="0.3">
      <c r="A89" s="7" t="s">
        <v>67</v>
      </c>
      <c r="B89" s="3" t="s">
        <v>220</v>
      </c>
      <c r="C89" s="5" t="s">
        <v>601</v>
      </c>
      <c r="E89" s="2" t="s">
        <v>465</v>
      </c>
      <c r="H89" s="2" t="s">
        <v>993</v>
      </c>
      <c r="L89" s="2" t="s">
        <v>1076</v>
      </c>
      <c r="M89" s="6" t="s">
        <v>1171</v>
      </c>
      <c r="S89" s="2" t="s">
        <v>1104</v>
      </c>
      <c r="Y89" s="2" t="s">
        <v>1045</v>
      </c>
      <c r="Z89" s="2" t="s">
        <v>2313</v>
      </c>
    </row>
    <row r="90" spans="1:26" x14ac:dyDescent="0.3">
      <c r="A90" s="7" t="s">
        <v>68</v>
      </c>
      <c r="B90" s="3" t="s">
        <v>221</v>
      </c>
      <c r="C90" s="3" t="s">
        <v>308</v>
      </c>
      <c r="E90" s="2" t="s">
        <v>466</v>
      </c>
      <c r="H90" s="3" t="s">
        <v>2180</v>
      </c>
      <c r="L90" s="2" t="s">
        <v>900</v>
      </c>
      <c r="M90" s="3" t="s">
        <v>1132</v>
      </c>
      <c r="S90" s="2" t="s">
        <v>1012</v>
      </c>
      <c r="Y90" s="2" t="s">
        <v>2090</v>
      </c>
      <c r="Z90" s="2" t="s">
        <v>2134</v>
      </c>
    </row>
    <row r="91" spans="1:26" x14ac:dyDescent="0.3">
      <c r="A91" s="7" t="s">
        <v>69</v>
      </c>
      <c r="B91" s="3" t="s">
        <v>168</v>
      </c>
      <c r="C91" s="3" t="s">
        <v>309</v>
      </c>
      <c r="E91" s="2" t="s">
        <v>467</v>
      </c>
      <c r="H91" s="2" t="s">
        <v>995</v>
      </c>
      <c r="L91" s="3" t="s">
        <v>901</v>
      </c>
      <c r="M91" s="6" t="s">
        <v>1966</v>
      </c>
      <c r="S91" s="2" t="s">
        <v>1649</v>
      </c>
      <c r="Y91" s="2" t="s">
        <v>2100</v>
      </c>
      <c r="Z91" s="2" t="s">
        <v>2175</v>
      </c>
    </row>
    <row r="92" spans="1:26" x14ac:dyDescent="0.3">
      <c r="A92" s="7" t="s">
        <v>1483</v>
      </c>
      <c r="B92" s="3" t="s">
        <v>169</v>
      </c>
      <c r="C92" s="5" t="s">
        <v>595</v>
      </c>
      <c r="E92" s="2" t="s">
        <v>468</v>
      </c>
      <c r="H92" s="6" t="s">
        <v>996</v>
      </c>
      <c r="L92" s="3" t="s">
        <v>902</v>
      </c>
      <c r="M92" s="3" t="s">
        <v>1174</v>
      </c>
      <c r="S92" s="2" t="s">
        <v>1652</v>
      </c>
      <c r="Y92" s="2" t="s">
        <v>2040</v>
      </c>
      <c r="Z92" s="2" t="s">
        <v>2165</v>
      </c>
    </row>
    <row r="93" spans="1:26" x14ac:dyDescent="0.3">
      <c r="A93" s="7" t="s">
        <v>70</v>
      </c>
      <c r="B93" s="3" t="s">
        <v>170</v>
      </c>
      <c r="C93" s="3" t="s">
        <v>310</v>
      </c>
      <c r="E93" s="2" t="s">
        <v>469</v>
      </c>
      <c r="H93" s="2" t="s">
        <v>997</v>
      </c>
      <c r="L93" s="2" t="s">
        <v>903</v>
      </c>
      <c r="M93" s="6" t="s">
        <v>1143</v>
      </c>
      <c r="S93" s="2" t="s">
        <v>1571</v>
      </c>
      <c r="Y93" s="2" t="s">
        <v>2064</v>
      </c>
      <c r="Z93" s="2" t="s">
        <v>2157</v>
      </c>
    </row>
    <row r="94" spans="1:26" x14ac:dyDescent="0.3">
      <c r="A94" s="7" t="s">
        <v>71</v>
      </c>
      <c r="B94" s="3" t="s">
        <v>171</v>
      </c>
      <c r="C94" s="3" t="s">
        <v>311</v>
      </c>
      <c r="E94" s="2" t="s">
        <v>470</v>
      </c>
      <c r="H94" s="3" t="s">
        <v>998</v>
      </c>
      <c r="L94" s="2" t="s">
        <v>904</v>
      </c>
      <c r="M94" s="3" t="s">
        <v>1950</v>
      </c>
      <c r="S94" s="2" t="s">
        <v>1626</v>
      </c>
      <c r="Y94" s="2" t="s">
        <v>2064</v>
      </c>
      <c r="Z94" s="2" t="s">
        <v>2171</v>
      </c>
    </row>
    <row r="95" spans="1:26" x14ac:dyDescent="0.3">
      <c r="A95" s="7" t="s">
        <v>72</v>
      </c>
      <c r="B95" s="3" t="s">
        <v>172</v>
      </c>
      <c r="C95" s="3" t="s">
        <v>312</v>
      </c>
      <c r="E95" s="2" t="s">
        <v>471</v>
      </c>
      <c r="H95" s="2" t="s">
        <v>999</v>
      </c>
      <c r="L95" s="6" t="s">
        <v>905</v>
      </c>
      <c r="M95" s="5" t="s">
        <v>1967</v>
      </c>
      <c r="S95" s="2" t="s">
        <v>1658</v>
      </c>
      <c r="Y95" s="2" t="s">
        <v>2080</v>
      </c>
      <c r="Z95" s="2" t="s">
        <v>2316</v>
      </c>
    </row>
    <row r="96" spans="1:26" x14ac:dyDescent="0.3">
      <c r="A96" s="7" t="s">
        <v>73</v>
      </c>
      <c r="B96" s="3" t="s">
        <v>222</v>
      </c>
      <c r="C96" s="5" t="s">
        <v>176</v>
      </c>
      <c r="E96" s="2" t="s">
        <v>472</v>
      </c>
      <c r="H96" s="6" t="s">
        <v>1000</v>
      </c>
      <c r="L96" s="6" t="s">
        <v>906</v>
      </c>
      <c r="M96" s="2" t="s">
        <v>1211</v>
      </c>
      <c r="S96" s="2" t="s">
        <v>1561</v>
      </c>
      <c r="Z96" s="2" t="s">
        <v>2173</v>
      </c>
    </row>
    <row r="97" spans="1:26" x14ac:dyDescent="0.3">
      <c r="A97" s="7" t="s">
        <v>1489</v>
      </c>
      <c r="B97" s="3" t="s">
        <v>173</v>
      </c>
      <c r="C97" s="3" t="s">
        <v>313</v>
      </c>
      <c r="E97" s="2" t="s">
        <v>473</v>
      </c>
      <c r="H97" s="2" t="s">
        <v>1001</v>
      </c>
      <c r="L97" s="2" t="s">
        <v>907</v>
      </c>
      <c r="M97" s="5" t="s">
        <v>1388</v>
      </c>
      <c r="S97" s="2" t="s">
        <v>1641</v>
      </c>
      <c r="Z97" s="2" t="s">
        <v>2281</v>
      </c>
    </row>
    <row r="98" spans="1:26" x14ac:dyDescent="0.3">
      <c r="A98" s="7" t="s">
        <v>74</v>
      </c>
      <c r="B98" s="3" t="s">
        <v>174</v>
      </c>
      <c r="C98" s="3" t="s">
        <v>314</v>
      </c>
      <c r="E98" s="2" t="s">
        <v>474</v>
      </c>
      <c r="H98" s="3" t="s">
        <v>1002</v>
      </c>
      <c r="L98" s="2" t="s">
        <v>908</v>
      </c>
      <c r="M98" s="2" t="s">
        <v>1153</v>
      </c>
      <c r="S98" s="2" t="s">
        <v>1591</v>
      </c>
      <c r="Z98" s="2" t="s">
        <v>2292</v>
      </c>
    </row>
    <row r="99" spans="1:26" x14ac:dyDescent="0.3">
      <c r="A99" s="7" t="s">
        <v>75</v>
      </c>
      <c r="B99" s="3" t="s">
        <v>175</v>
      </c>
      <c r="C99" s="5" t="s">
        <v>599</v>
      </c>
      <c r="E99" s="2" t="s">
        <v>475</v>
      </c>
      <c r="H99" s="3" t="s">
        <v>1003</v>
      </c>
      <c r="M99" s="3" t="s">
        <v>1221</v>
      </c>
      <c r="S99" s="2" t="s">
        <v>1581</v>
      </c>
      <c r="Z99" s="2" t="s">
        <v>2315</v>
      </c>
    </row>
    <row r="100" spans="1:26" x14ac:dyDescent="0.3">
      <c r="A100" s="7" t="s">
        <v>1232</v>
      </c>
      <c r="B100" s="3" t="s">
        <v>223</v>
      </c>
      <c r="C100" s="3" t="s">
        <v>315</v>
      </c>
      <c r="E100" s="2" t="s">
        <v>476</v>
      </c>
      <c r="H100" s="6" t="s">
        <v>1004</v>
      </c>
      <c r="M100" s="3" t="s">
        <v>1179</v>
      </c>
      <c r="S100" s="2" t="s">
        <v>1609</v>
      </c>
      <c r="Z100" s="2" t="s">
        <v>2133</v>
      </c>
    </row>
    <row r="101" spans="1:26" x14ac:dyDescent="0.3">
      <c r="A101" s="7" t="s">
        <v>76</v>
      </c>
      <c r="B101" s="3" t="s">
        <v>1240</v>
      </c>
      <c r="C101" s="3" t="s">
        <v>316</v>
      </c>
      <c r="E101" s="2" t="s">
        <v>477</v>
      </c>
      <c r="H101" s="3" t="s">
        <v>2261</v>
      </c>
      <c r="M101" s="3" t="s">
        <v>1225</v>
      </c>
      <c r="S101" s="2" t="s">
        <v>1598</v>
      </c>
      <c r="Z101" s="2" t="s">
        <v>2291</v>
      </c>
    </row>
    <row r="102" spans="1:26" x14ac:dyDescent="0.3">
      <c r="A102" s="7" t="s">
        <v>77</v>
      </c>
      <c r="B102" s="3" t="s">
        <v>224</v>
      </c>
      <c r="C102" s="3" t="s">
        <v>317</v>
      </c>
      <c r="E102" s="2" t="s">
        <v>478</v>
      </c>
      <c r="H102" s="6" t="s">
        <v>1005</v>
      </c>
      <c r="M102" s="2" t="s">
        <v>1154</v>
      </c>
      <c r="S102" s="2" t="s">
        <v>2260</v>
      </c>
      <c r="Z102" s="2" t="s">
        <v>2155</v>
      </c>
    </row>
    <row r="103" spans="1:26" x14ac:dyDescent="0.3">
      <c r="A103" s="7" t="s">
        <v>78</v>
      </c>
      <c r="B103" s="3" t="s">
        <v>176</v>
      </c>
      <c r="C103" s="3" t="s">
        <v>318</v>
      </c>
      <c r="E103" s="2" t="s">
        <v>479</v>
      </c>
      <c r="H103" s="6" t="s">
        <v>619</v>
      </c>
      <c r="M103" s="3" t="s">
        <v>1222</v>
      </c>
      <c r="S103" s="2" t="s">
        <v>1651</v>
      </c>
      <c r="Z103" s="2" t="s">
        <v>2167</v>
      </c>
    </row>
    <row r="104" spans="1:26" x14ac:dyDescent="0.3">
      <c r="A104" s="7" t="s">
        <v>79</v>
      </c>
      <c r="B104" s="3" t="s">
        <v>177</v>
      </c>
      <c r="C104" s="3" t="s">
        <v>319</v>
      </c>
      <c r="E104" s="2" t="s">
        <v>480</v>
      </c>
      <c r="H104" s="6" t="s">
        <v>1006</v>
      </c>
      <c r="M104" s="3" t="s">
        <v>1219</v>
      </c>
      <c r="S104" s="2" t="s">
        <v>1615</v>
      </c>
      <c r="Z104" s="2" t="s">
        <v>2145</v>
      </c>
    </row>
    <row r="105" spans="1:26" x14ac:dyDescent="0.3">
      <c r="A105" s="7" t="s">
        <v>80</v>
      </c>
      <c r="B105" s="3" t="s">
        <v>225</v>
      </c>
      <c r="C105" s="3" t="s">
        <v>320</v>
      </c>
      <c r="E105" s="2" t="s">
        <v>481</v>
      </c>
      <c r="H105" s="3" t="s">
        <v>1007</v>
      </c>
      <c r="M105" s="2" t="s">
        <v>1115</v>
      </c>
      <c r="S105" s="2" t="s">
        <v>1594</v>
      </c>
      <c r="Z105" s="2" t="s">
        <v>2164</v>
      </c>
    </row>
    <row r="106" spans="1:26" x14ac:dyDescent="0.3">
      <c r="A106" s="7" t="s">
        <v>1233</v>
      </c>
      <c r="B106" s="3" t="s">
        <v>178</v>
      </c>
      <c r="C106" s="3" t="s">
        <v>321</v>
      </c>
      <c r="E106" s="2" t="s">
        <v>482</v>
      </c>
      <c r="H106" s="3" t="s">
        <v>1008</v>
      </c>
      <c r="M106" s="6" t="s">
        <v>1133</v>
      </c>
      <c r="S106" s="2" t="s">
        <v>366</v>
      </c>
      <c r="Z106" s="2" t="s">
        <v>2319</v>
      </c>
    </row>
    <row r="107" spans="1:26" x14ac:dyDescent="0.3">
      <c r="A107" s="7" t="s">
        <v>2007</v>
      </c>
      <c r="B107" s="3" t="s">
        <v>226</v>
      </c>
      <c r="C107" s="3" t="s">
        <v>322</v>
      </c>
      <c r="E107" s="2" t="s">
        <v>483</v>
      </c>
      <c r="H107" s="6" t="s">
        <v>1009</v>
      </c>
      <c r="M107" s="6" t="s">
        <v>1120</v>
      </c>
      <c r="S107" s="2" t="s">
        <v>1661</v>
      </c>
      <c r="Z107" s="2" t="s">
        <v>2124</v>
      </c>
    </row>
    <row r="108" spans="1:26" x14ac:dyDescent="0.3">
      <c r="A108" s="7" t="s">
        <v>81</v>
      </c>
      <c r="B108" s="3" t="s">
        <v>179</v>
      </c>
      <c r="C108" s="3" t="s">
        <v>323</v>
      </c>
      <c r="E108" s="2" t="s">
        <v>484</v>
      </c>
      <c r="H108" s="2" t="s">
        <v>1010</v>
      </c>
      <c r="M108" s="2" t="s">
        <v>1216</v>
      </c>
      <c r="S108" s="2" t="s">
        <v>1601</v>
      </c>
      <c r="Z108" s="2" t="s">
        <v>2305</v>
      </c>
    </row>
    <row r="109" spans="1:26" x14ac:dyDescent="0.3">
      <c r="A109" s="7" t="s">
        <v>82</v>
      </c>
      <c r="B109" s="3" t="s">
        <v>180</v>
      </c>
      <c r="C109" s="3" t="s">
        <v>324</v>
      </c>
      <c r="E109" s="2" t="s">
        <v>485</v>
      </c>
      <c r="H109" s="2" t="s">
        <v>1011</v>
      </c>
      <c r="M109" s="2" t="s">
        <v>1091</v>
      </c>
      <c r="S109" s="2" t="s">
        <v>1659</v>
      </c>
      <c r="Z109" s="2" t="s">
        <v>2135</v>
      </c>
    </row>
    <row r="110" spans="1:26" x14ac:dyDescent="0.3">
      <c r="A110" s="7" t="s">
        <v>83</v>
      </c>
      <c r="B110" s="3" t="s">
        <v>115</v>
      </c>
      <c r="C110" s="3" t="s">
        <v>325</v>
      </c>
      <c r="E110" s="2" t="s">
        <v>486</v>
      </c>
      <c r="H110" s="3" t="s">
        <v>1012</v>
      </c>
      <c r="M110" s="5" t="s">
        <v>2182</v>
      </c>
      <c r="S110" s="2" t="s">
        <v>1563</v>
      </c>
      <c r="Z110" s="2" t="s">
        <v>2300</v>
      </c>
    </row>
    <row r="111" spans="1:26" x14ac:dyDescent="0.3">
      <c r="A111" s="7" t="s">
        <v>84</v>
      </c>
      <c r="B111" s="3" t="s">
        <v>227</v>
      </c>
      <c r="E111" s="2" t="s">
        <v>487</v>
      </c>
      <c r="H111" s="6" t="s">
        <v>1013</v>
      </c>
      <c r="M111" s="3" t="s">
        <v>1144</v>
      </c>
      <c r="S111" s="2" t="s">
        <v>1589</v>
      </c>
      <c r="Z111" s="2" t="s">
        <v>2139</v>
      </c>
    </row>
    <row r="112" spans="1:26" x14ac:dyDescent="0.3">
      <c r="A112" s="7" t="s">
        <v>85</v>
      </c>
      <c r="B112" s="3" t="s">
        <v>228</v>
      </c>
      <c r="E112" s="2" t="s">
        <v>488</v>
      </c>
      <c r="H112" s="6" t="s">
        <v>1014</v>
      </c>
      <c r="M112" s="2" t="s">
        <v>1190</v>
      </c>
      <c r="S112" s="2" t="s">
        <v>1660</v>
      </c>
      <c r="Z112" s="2" t="s">
        <v>2312</v>
      </c>
    </row>
    <row r="113" spans="1:26" x14ac:dyDescent="0.3">
      <c r="A113" s="7" t="s">
        <v>86</v>
      </c>
      <c r="B113" s="3" t="s">
        <v>181</v>
      </c>
      <c r="E113" s="2" t="s">
        <v>489</v>
      </c>
      <c r="H113" s="2" t="s">
        <v>1015</v>
      </c>
      <c r="M113" s="6" t="s">
        <v>1193</v>
      </c>
      <c r="S113" s="2" t="s">
        <v>1645</v>
      </c>
      <c r="Z113" s="2" t="s">
        <v>2314</v>
      </c>
    </row>
    <row r="114" spans="1:26" x14ac:dyDescent="0.3">
      <c r="A114" s="7" t="s">
        <v>2115</v>
      </c>
      <c r="B114" s="3" t="s">
        <v>229</v>
      </c>
      <c r="E114" s="2" t="s">
        <v>490</v>
      </c>
      <c r="H114" s="6" t="s">
        <v>1016</v>
      </c>
      <c r="M114" s="3" t="s">
        <v>1963</v>
      </c>
      <c r="S114" s="2" t="s">
        <v>1611</v>
      </c>
      <c r="Z114" s="2" t="s">
        <v>2310</v>
      </c>
    </row>
    <row r="115" spans="1:26" x14ac:dyDescent="0.3">
      <c r="A115" s="7" t="s">
        <v>87</v>
      </c>
      <c r="B115" s="3" t="s">
        <v>182</v>
      </c>
      <c r="E115" s="2" t="s">
        <v>491</v>
      </c>
      <c r="H115" s="6" t="s">
        <v>1017</v>
      </c>
      <c r="M115" s="6" t="s">
        <v>1207</v>
      </c>
      <c r="S115" s="2" t="s">
        <v>1564</v>
      </c>
      <c r="Z115" s="2" t="s">
        <v>2168</v>
      </c>
    </row>
    <row r="116" spans="1:26" x14ac:dyDescent="0.3">
      <c r="A116" s="7" t="s">
        <v>88</v>
      </c>
      <c r="B116" s="3" t="s">
        <v>230</v>
      </c>
      <c r="E116" s="2" t="s">
        <v>492</v>
      </c>
      <c r="H116" s="6" t="s">
        <v>644</v>
      </c>
      <c r="M116" s="6" t="s">
        <v>1124</v>
      </c>
      <c r="S116" s="2" t="s">
        <v>185</v>
      </c>
      <c r="Z116" s="2" t="s">
        <v>2166</v>
      </c>
    </row>
    <row r="117" spans="1:26" x14ac:dyDescent="0.3">
      <c r="A117" s="7" t="s">
        <v>89</v>
      </c>
      <c r="B117" s="3" t="s">
        <v>183</v>
      </c>
      <c r="E117" s="2" t="s">
        <v>493</v>
      </c>
      <c r="H117" s="6" t="s">
        <v>1018</v>
      </c>
      <c r="M117" s="2" t="s">
        <v>1093</v>
      </c>
      <c r="S117" s="2" t="s">
        <v>1664</v>
      </c>
      <c r="Z117" s="2" t="s">
        <v>2306</v>
      </c>
    </row>
    <row r="118" spans="1:26" x14ac:dyDescent="0.3">
      <c r="A118" s="7" t="s">
        <v>90</v>
      </c>
      <c r="B118" s="3" t="s">
        <v>184</v>
      </c>
      <c r="E118" s="2" t="s">
        <v>494</v>
      </c>
      <c r="H118" s="6" t="s">
        <v>1019</v>
      </c>
      <c r="M118" s="5" t="s">
        <v>2187</v>
      </c>
    </row>
    <row r="119" spans="1:26" x14ac:dyDescent="0.3">
      <c r="A119" s="7" t="s">
        <v>123</v>
      </c>
      <c r="B119" s="3" t="s">
        <v>185</v>
      </c>
      <c r="E119" s="2" t="s">
        <v>495</v>
      </c>
      <c r="H119" s="3" t="s">
        <v>1020</v>
      </c>
      <c r="M119" s="2" t="s">
        <v>1147</v>
      </c>
    </row>
    <row r="120" spans="1:26" x14ac:dyDescent="0.3">
      <c r="A120" s="7" t="s">
        <v>1482</v>
      </c>
      <c r="E120" s="2" t="s">
        <v>496</v>
      </c>
      <c r="H120" s="6" t="s">
        <v>1021</v>
      </c>
      <c r="M120" s="2" t="s">
        <v>1084</v>
      </c>
    </row>
    <row r="121" spans="1:26" x14ac:dyDescent="0.3">
      <c r="A121" s="7" t="s">
        <v>91</v>
      </c>
      <c r="E121" s="2" t="s">
        <v>497</v>
      </c>
      <c r="H121" s="6" t="s">
        <v>1022</v>
      </c>
      <c r="M121" s="6" t="s">
        <v>1110</v>
      </c>
    </row>
    <row r="122" spans="1:26" x14ac:dyDescent="0.3">
      <c r="A122" s="7" t="s">
        <v>92</v>
      </c>
      <c r="E122" s="2" t="s">
        <v>498</v>
      </c>
      <c r="H122" s="2" t="s">
        <v>1023</v>
      </c>
      <c r="M122" s="6" t="s">
        <v>1142</v>
      </c>
    </row>
    <row r="123" spans="1:26" x14ac:dyDescent="0.3">
      <c r="A123" s="7" t="s">
        <v>93</v>
      </c>
      <c r="E123" s="2" t="s">
        <v>499</v>
      </c>
      <c r="H123" s="3" t="s">
        <v>1024</v>
      </c>
      <c r="M123" s="6" t="s">
        <v>1116</v>
      </c>
    </row>
    <row r="124" spans="1:26" x14ac:dyDescent="0.3">
      <c r="A124" s="7" t="s">
        <v>94</v>
      </c>
      <c r="E124" s="2" t="s">
        <v>500</v>
      </c>
      <c r="H124" s="6" t="s">
        <v>1025</v>
      </c>
      <c r="M124" s="6" t="s">
        <v>1097</v>
      </c>
    </row>
    <row r="125" spans="1:26" x14ac:dyDescent="0.3">
      <c r="A125" s="7" t="s">
        <v>95</v>
      </c>
      <c r="E125" s="2" t="s">
        <v>501</v>
      </c>
      <c r="H125" s="6" t="s">
        <v>1026</v>
      </c>
      <c r="M125" s="3" t="s">
        <v>2084</v>
      </c>
    </row>
    <row r="126" spans="1:26" x14ac:dyDescent="0.3">
      <c r="A126" s="7" t="s">
        <v>96</v>
      </c>
      <c r="E126" s="2" t="s">
        <v>502</v>
      </c>
      <c r="H126" s="3" t="s">
        <v>1027</v>
      </c>
      <c r="M126" s="3" t="s">
        <v>1172</v>
      </c>
    </row>
    <row r="127" spans="1:26" x14ac:dyDescent="0.3">
      <c r="A127" s="3" t="s">
        <v>97</v>
      </c>
      <c r="E127" s="2" t="s">
        <v>503</v>
      </c>
      <c r="H127" s="6" t="s">
        <v>1028</v>
      </c>
      <c r="M127" s="3" t="s">
        <v>1218</v>
      </c>
    </row>
    <row r="128" spans="1:26" x14ac:dyDescent="0.3">
      <c r="A128" s="7" t="s">
        <v>98</v>
      </c>
      <c r="E128" s="2" t="s">
        <v>504</v>
      </c>
      <c r="H128" s="6" t="s">
        <v>1029</v>
      </c>
      <c r="M128" s="2" t="s">
        <v>1169</v>
      </c>
    </row>
    <row r="129" spans="1:13" x14ac:dyDescent="0.3">
      <c r="A129" s="7" t="s">
        <v>99</v>
      </c>
      <c r="E129" s="2" t="s">
        <v>505</v>
      </c>
      <c r="H129" s="6" t="s">
        <v>1030</v>
      </c>
      <c r="M129" s="6" t="s">
        <v>1206</v>
      </c>
    </row>
    <row r="130" spans="1:13" x14ac:dyDescent="0.3">
      <c r="A130" s="7" t="s">
        <v>100</v>
      </c>
      <c r="E130" s="2" t="s">
        <v>506</v>
      </c>
      <c r="H130" s="6" t="s">
        <v>1031</v>
      </c>
      <c r="M130" s="5" t="s">
        <v>2190</v>
      </c>
    </row>
    <row r="131" spans="1:13" x14ac:dyDescent="0.3">
      <c r="A131" s="7" t="s">
        <v>101</v>
      </c>
      <c r="E131" s="2" t="s">
        <v>507</v>
      </c>
      <c r="H131" s="3" t="s">
        <v>1032</v>
      </c>
      <c r="M131" s="3" t="s">
        <v>1170</v>
      </c>
    </row>
    <row r="132" spans="1:13" x14ac:dyDescent="0.3">
      <c r="A132" s="7" t="s">
        <v>102</v>
      </c>
      <c r="E132" s="2" t="s">
        <v>508</v>
      </c>
      <c r="H132" s="2" t="s">
        <v>1033</v>
      </c>
      <c r="M132" s="6" t="s">
        <v>1194</v>
      </c>
    </row>
    <row r="133" spans="1:13" x14ac:dyDescent="0.3">
      <c r="A133" s="7" t="s">
        <v>103</v>
      </c>
      <c r="E133" s="2" t="s">
        <v>509</v>
      </c>
      <c r="H133" s="6" t="s">
        <v>1034</v>
      </c>
      <c r="M133" s="6" t="s">
        <v>1195</v>
      </c>
    </row>
    <row r="134" spans="1:13" x14ac:dyDescent="0.3">
      <c r="A134" s="7" t="s">
        <v>104</v>
      </c>
      <c r="E134" s="2" t="s">
        <v>510</v>
      </c>
      <c r="H134" s="2" t="s">
        <v>1035</v>
      </c>
      <c r="M134" s="6" t="s">
        <v>1094</v>
      </c>
    </row>
    <row r="135" spans="1:13" x14ac:dyDescent="0.3">
      <c r="A135" s="3" t="s">
        <v>105</v>
      </c>
      <c r="E135" s="2" t="s">
        <v>511</v>
      </c>
      <c r="H135" s="6" t="s">
        <v>1036</v>
      </c>
      <c r="M135" s="2" t="s">
        <v>1108</v>
      </c>
    </row>
    <row r="136" spans="1:13" x14ac:dyDescent="0.3">
      <c r="A136" s="7" t="s">
        <v>106</v>
      </c>
      <c r="E136" s="2" t="s">
        <v>512</v>
      </c>
      <c r="H136" s="6" t="s">
        <v>1037</v>
      </c>
      <c r="M136" s="6" t="s">
        <v>1953</v>
      </c>
    </row>
    <row r="137" spans="1:13" x14ac:dyDescent="0.3">
      <c r="A137" s="7" t="s">
        <v>107</v>
      </c>
      <c r="E137" s="2" t="s">
        <v>513</v>
      </c>
      <c r="H137" s="6" t="s">
        <v>1038</v>
      </c>
      <c r="M137" s="6" t="s">
        <v>1188</v>
      </c>
    </row>
    <row r="138" spans="1:13" x14ac:dyDescent="0.3">
      <c r="A138" s="7" t="s">
        <v>108</v>
      </c>
      <c r="E138" s="2" t="s">
        <v>514</v>
      </c>
      <c r="H138" s="6" t="s">
        <v>1039</v>
      </c>
      <c r="M138" s="3" t="s">
        <v>1184</v>
      </c>
    </row>
    <row r="139" spans="1:13" x14ac:dyDescent="0.3">
      <c r="A139" s="7" t="s">
        <v>1480</v>
      </c>
      <c r="E139" s="2" t="s">
        <v>515</v>
      </c>
      <c r="H139" s="2" t="s">
        <v>1040</v>
      </c>
      <c r="M139" s="2" t="s">
        <v>1083</v>
      </c>
    </row>
    <row r="140" spans="1:13" x14ac:dyDescent="0.3">
      <c r="A140" s="7" t="s">
        <v>109</v>
      </c>
      <c r="E140" s="2" t="s">
        <v>516</v>
      </c>
      <c r="H140" s="6" t="s">
        <v>1041</v>
      </c>
      <c r="M140" s="3" t="s">
        <v>1200</v>
      </c>
    </row>
    <row r="141" spans="1:13" x14ac:dyDescent="0.3">
      <c r="A141" s="7" t="s">
        <v>110</v>
      </c>
      <c r="E141" s="2" t="s">
        <v>517</v>
      </c>
      <c r="H141" s="3" t="s">
        <v>1042</v>
      </c>
      <c r="M141" s="5" t="s">
        <v>2184</v>
      </c>
    </row>
    <row r="142" spans="1:13" x14ac:dyDescent="0.3">
      <c r="A142" s="7" t="s">
        <v>111</v>
      </c>
      <c r="E142" s="2" t="s">
        <v>518</v>
      </c>
      <c r="H142" s="6" t="s">
        <v>1043</v>
      </c>
      <c r="M142" s="3" t="s">
        <v>1136</v>
      </c>
    </row>
    <row r="143" spans="1:13" x14ac:dyDescent="0.3">
      <c r="A143" s="7" t="s">
        <v>1481</v>
      </c>
      <c r="E143" s="2" t="s">
        <v>519</v>
      </c>
      <c r="H143" s="2" t="s">
        <v>1044</v>
      </c>
      <c r="M143" s="3" t="s">
        <v>1177</v>
      </c>
    </row>
    <row r="144" spans="1:13" x14ac:dyDescent="0.3">
      <c r="A144" s="7" t="s">
        <v>112</v>
      </c>
      <c r="E144" s="2" t="s">
        <v>520</v>
      </c>
      <c r="H144" s="6" t="s">
        <v>1045</v>
      </c>
      <c r="M144" s="2" t="s">
        <v>1117</v>
      </c>
    </row>
    <row r="145" spans="1:13" x14ac:dyDescent="0.3">
      <c r="A145" s="7" t="s">
        <v>113</v>
      </c>
      <c r="E145" s="2" t="s">
        <v>521</v>
      </c>
      <c r="H145" s="6" t="s">
        <v>906</v>
      </c>
      <c r="M145" s="3" t="s">
        <v>1134</v>
      </c>
    </row>
    <row r="146" spans="1:13" x14ac:dyDescent="0.3">
      <c r="A146" s="7" t="s">
        <v>114</v>
      </c>
      <c r="E146" s="2" t="s">
        <v>522</v>
      </c>
      <c r="H146" s="6" t="s">
        <v>1046</v>
      </c>
      <c r="M146" s="2" t="s">
        <v>1167</v>
      </c>
    </row>
    <row r="147" spans="1:13" x14ac:dyDescent="0.3">
      <c r="A147" s="7" t="s">
        <v>115</v>
      </c>
      <c r="E147" s="2" t="s">
        <v>523</v>
      </c>
      <c r="H147" s="2" t="s">
        <v>1047</v>
      </c>
      <c r="M147" s="6" t="s">
        <v>1185</v>
      </c>
    </row>
    <row r="148" spans="1:13" x14ac:dyDescent="0.3">
      <c r="A148" s="7" t="s">
        <v>116</v>
      </c>
      <c r="E148" s="2" t="s">
        <v>524</v>
      </c>
      <c r="H148" s="6" t="s">
        <v>1048</v>
      </c>
      <c r="M148" s="2" t="s">
        <v>1100</v>
      </c>
    </row>
    <row r="149" spans="1:13" x14ac:dyDescent="0.3">
      <c r="A149" s="7" t="s">
        <v>117</v>
      </c>
      <c r="E149" s="2" t="s">
        <v>525</v>
      </c>
      <c r="H149" s="6" t="s">
        <v>1049</v>
      </c>
      <c r="M149" s="2" t="s">
        <v>1122</v>
      </c>
    </row>
    <row r="150" spans="1:13" x14ac:dyDescent="0.3">
      <c r="A150" s="7" t="s">
        <v>118</v>
      </c>
      <c r="E150" s="2" t="s">
        <v>526</v>
      </c>
      <c r="H150" s="6" t="s">
        <v>1050</v>
      </c>
      <c r="M150" s="3" t="s">
        <v>1090</v>
      </c>
    </row>
    <row r="151" spans="1:13" x14ac:dyDescent="0.3">
      <c r="A151" s="7" t="s">
        <v>119</v>
      </c>
      <c r="E151" s="2" t="s">
        <v>527</v>
      </c>
      <c r="H151" s="2" t="s">
        <v>1051</v>
      </c>
      <c r="M151" s="3" t="s">
        <v>1228</v>
      </c>
    </row>
    <row r="152" spans="1:13" x14ac:dyDescent="0.3">
      <c r="A152" s="7" t="s">
        <v>1487</v>
      </c>
      <c r="E152" s="2" t="s">
        <v>528</v>
      </c>
      <c r="H152" s="6" t="s">
        <v>1052</v>
      </c>
      <c r="M152" s="3" t="s">
        <v>1957</v>
      </c>
    </row>
    <row r="153" spans="1:13" x14ac:dyDescent="0.3">
      <c r="A153" s="7" t="s">
        <v>120</v>
      </c>
      <c r="E153" s="2" t="s">
        <v>529</v>
      </c>
      <c r="H153" s="2" t="s">
        <v>1053</v>
      </c>
      <c r="M153" s="6" t="s">
        <v>1099</v>
      </c>
    </row>
    <row r="154" spans="1:13" x14ac:dyDescent="0.3">
      <c r="A154" s="7" t="s">
        <v>121</v>
      </c>
      <c r="E154" s="2" t="s">
        <v>530</v>
      </c>
      <c r="H154" s="6" t="s">
        <v>1054</v>
      </c>
      <c r="M154" s="2" t="s">
        <v>1149</v>
      </c>
    </row>
    <row r="155" spans="1:13" x14ac:dyDescent="0.3">
      <c r="A155" s="7" t="s">
        <v>122</v>
      </c>
      <c r="E155" s="2" t="s">
        <v>531</v>
      </c>
      <c r="H155" s="6" t="s">
        <v>1055</v>
      </c>
      <c r="M155" s="3" t="s">
        <v>1220</v>
      </c>
    </row>
    <row r="156" spans="1:13" x14ac:dyDescent="0.3">
      <c r="E156" s="2" t="s">
        <v>532</v>
      </c>
      <c r="H156" s="2" t="s">
        <v>2191</v>
      </c>
      <c r="M156" s="3" t="s">
        <v>1952</v>
      </c>
    </row>
    <row r="157" spans="1:13" x14ac:dyDescent="0.3">
      <c r="E157" s="2" t="s">
        <v>533</v>
      </c>
      <c r="M157" s="2" t="s">
        <v>1086</v>
      </c>
    </row>
    <row r="158" spans="1:13" x14ac:dyDescent="0.3">
      <c r="E158" s="2" t="s">
        <v>534</v>
      </c>
      <c r="M158" s="6" t="s">
        <v>1226</v>
      </c>
    </row>
    <row r="159" spans="1:13" x14ac:dyDescent="0.3">
      <c r="E159" s="2" t="s">
        <v>535</v>
      </c>
      <c r="M159" s="3" t="s">
        <v>1106</v>
      </c>
    </row>
    <row r="160" spans="1:13" x14ac:dyDescent="0.3">
      <c r="E160" s="2" t="s">
        <v>536</v>
      </c>
      <c r="M160" s="3" t="s">
        <v>1104</v>
      </c>
    </row>
    <row r="161" spans="5:13" x14ac:dyDescent="0.3">
      <c r="E161" s="2" t="s">
        <v>537</v>
      </c>
      <c r="M161" s="3" t="s">
        <v>1217</v>
      </c>
    </row>
    <row r="162" spans="5:13" x14ac:dyDescent="0.3">
      <c r="E162" s="2" t="s">
        <v>538</v>
      </c>
      <c r="M162" s="3" t="s">
        <v>1949</v>
      </c>
    </row>
    <row r="163" spans="5:13" x14ac:dyDescent="0.3">
      <c r="E163" s="2" t="s">
        <v>538</v>
      </c>
      <c r="M163" s="3" t="s">
        <v>1103</v>
      </c>
    </row>
    <row r="164" spans="5:13" x14ac:dyDescent="0.3">
      <c r="E164" s="2" t="s">
        <v>539</v>
      </c>
      <c r="M164" s="3" t="s">
        <v>1189</v>
      </c>
    </row>
    <row r="165" spans="5:13" x14ac:dyDescent="0.3">
      <c r="E165" s="2" t="s">
        <v>540</v>
      </c>
      <c r="M165" s="6" t="s">
        <v>1098</v>
      </c>
    </row>
    <row r="166" spans="5:13" x14ac:dyDescent="0.3">
      <c r="E166" s="2" t="s">
        <v>541</v>
      </c>
      <c r="M166" s="3" t="s">
        <v>601</v>
      </c>
    </row>
    <row r="167" spans="5:13" x14ac:dyDescent="0.3">
      <c r="E167" s="2" t="s">
        <v>542</v>
      </c>
      <c r="M167" s="6" t="s">
        <v>1151</v>
      </c>
    </row>
    <row r="168" spans="5:13" x14ac:dyDescent="0.3">
      <c r="E168" s="2" t="s">
        <v>543</v>
      </c>
      <c r="M168" s="3" t="s">
        <v>1196</v>
      </c>
    </row>
    <row r="169" spans="5:13" x14ac:dyDescent="0.3">
      <c r="E169" s="2" t="s">
        <v>544</v>
      </c>
      <c r="M169" s="6" t="s">
        <v>1138</v>
      </c>
    </row>
    <row r="170" spans="5:13" x14ac:dyDescent="0.3">
      <c r="E170" s="2" t="s">
        <v>545</v>
      </c>
      <c r="M170" s="3" t="s">
        <v>1224</v>
      </c>
    </row>
    <row r="171" spans="5:13" x14ac:dyDescent="0.3">
      <c r="E171" s="2" t="s">
        <v>546</v>
      </c>
      <c r="M171" s="6" t="s">
        <v>2458</v>
      </c>
    </row>
    <row r="172" spans="5:13" x14ac:dyDescent="0.3">
      <c r="E172" s="2" t="s">
        <v>547</v>
      </c>
      <c r="M172" s="3" t="s">
        <v>1152</v>
      </c>
    </row>
    <row r="173" spans="5:13" x14ac:dyDescent="0.3">
      <c r="E173" s="2" t="s">
        <v>548</v>
      </c>
      <c r="M173" s="2" t="s">
        <v>1080</v>
      </c>
    </row>
    <row r="174" spans="5:13" x14ac:dyDescent="0.3">
      <c r="E174" s="2" t="s">
        <v>549</v>
      </c>
      <c r="M174" s="3" t="s">
        <v>1197</v>
      </c>
    </row>
    <row r="175" spans="5:13" x14ac:dyDescent="0.3">
      <c r="E175" s="2" t="s">
        <v>550</v>
      </c>
      <c r="M175" s="3" t="s">
        <v>2380</v>
      </c>
    </row>
    <row r="176" spans="5:13" x14ac:dyDescent="0.3">
      <c r="E176" s="2" t="s">
        <v>551</v>
      </c>
      <c r="M176" s="6" t="s">
        <v>1131</v>
      </c>
    </row>
    <row r="177" spans="5:13" x14ac:dyDescent="0.3">
      <c r="E177" s="2" t="s">
        <v>552</v>
      </c>
      <c r="M177" s="5" t="s">
        <v>2183</v>
      </c>
    </row>
    <row r="178" spans="5:13" x14ac:dyDescent="0.3">
      <c r="E178" s="2" t="s">
        <v>553</v>
      </c>
      <c r="M178" s="5" t="s">
        <v>2186</v>
      </c>
    </row>
    <row r="179" spans="5:13" x14ac:dyDescent="0.3">
      <c r="E179" s="2" t="s">
        <v>554</v>
      </c>
      <c r="M179" s="3" t="s">
        <v>1161</v>
      </c>
    </row>
    <row r="180" spans="5:13" x14ac:dyDescent="0.3">
      <c r="E180" s="2" t="s">
        <v>555</v>
      </c>
      <c r="M180" s="3" t="s">
        <v>1114</v>
      </c>
    </row>
    <row r="181" spans="5:13" x14ac:dyDescent="0.3">
      <c r="E181" s="2" t="s">
        <v>556</v>
      </c>
      <c r="M181" s="6" t="s">
        <v>1173</v>
      </c>
    </row>
    <row r="182" spans="5:13" x14ac:dyDescent="0.3">
      <c r="E182" s="2" t="s">
        <v>557</v>
      </c>
      <c r="M182" s="5" t="s">
        <v>2188</v>
      </c>
    </row>
    <row r="183" spans="5:13" x14ac:dyDescent="0.3">
      <c r="E183" s="2" t="s">
        <v>558</v>
      </c>
      <c r="M183" s="6" t="s">
        <v>1204</v>
      </c>
    </row>
    <row r="184" spans="5:13" x14ac:dyDescent="0.3">
      <c r="E184" s="2" t="s">
        <v>559</v>
      </c>
      <c r="M184" s="6" t="s">
        <v>1210</v>
      </c>
    </row>
    <row r="185" spans="5:13" x14ac:dyDescent="0.3">
      <c r="E185" s="2" t="s">
        <v>560</v>
      </c>
      <c r="M185" s="6" t="s">
        <v>1202</v>
      </c>
    </row>
    <row r="186" spans="5:13" x14ac:dyDescent="0.3">
      <c r="E186" s="2" t="s">
        <v>561</v>
      </c>
      <c r="M186" s="6" t="s">
        <v>1150</v>
      </c>
    </row>
    <row r="187" spans="5:13" x14ac:dyDescent="0.3">
      <c r="E187" s="2" t="s">
        <v>562</v>
      </c>
      <c r="M187" s="6" t="s">
        <v>1198</v>
      </c>
    </row>
    <row r="188" spans="5:13" x14ac:dyDescent="0.3">
      <c r="E188" s="2" t="s">
        <v>563</v>
      </c>
      <c r="M188" s="3" t="s">
        <v>1128</v>
      </c>
    </row>
    <row r="189" spans="5:13" x14ac:dyDescent="0.3">
      <c r="E189" s="2" t="s">
        <v>564</v>
      </c>
      <c r="M189" s="3" t="s">
        <v>1956</v>
      </c>
    </row>
    <row r="190" spans="5:13" x14ac:dyDescent="0.3">
      <c r="E190" s="2" t="s">
        <v>565</v>
      </c>
      <c r="M190" s="3" t="s">
        <v>1047</v>
      </c>
    </row>
    <row r="191" spans="5:13" x14ac:dyDescent="0.3">
      <c r="E191" s="2" t="s">
        <v>566</v>
      </c>
      <c r="M191" s="6" t="s">
        <v>2107</v>
      </c>
    </row>
    <row r="192" spans="5:13" x14ac:dyDescent="0.3">
      <c r="E192" s="2" t="s">
        <v>567</v>
      </c>
      <c r="M192" s="3" t="s">
        <v>1155</v>
      </c>
    </row>
    <row r="193" spans="5:13" x14ac:dyDescent="0.3">
      <c r="E193" s="2" t="s">
        <v>103</v>
      </c>
      <c r="M193" s="6" t="s">
        <v>1129</v>
      </c>
    </row>
    <row r="194" spans="5:13" x14ac:dyDescent="0.3">
      <c r="E194" s="2" t="s">
        <v>568</v>
      </c>
      <c r="M194" s="6" t="s">
        <v>1180</v>
      </c>
    </row>
    <row r="195" spans="5:13" x14ac:dyDescent="0.3">
      <c r="E195" s="2" t="s">
        <v>569</v>
      </c>
    </row>
    <row r="196" spans="5:13" x14ac:dyDescent="0.3">
      <c r="E196" s="2" t="s">
        <v>570</v>
      </c>
    </row>
    <row r="197" spans="5:13" x14ac:dyDescent="0.3">
      <c r="E197" s="2" t="s">
        <v>571</v>
      </c>
    </row>
    <row r="198" spans="5:13" x14ac:dyDescent="0.3">
      <c r="E198" s="2" t="s">
        <v>572</v>
      </c>
    </row>
    <row r="199" spans="5:13" x14ac:dyDescent="0.3">
      <c r="E199" s="2" t="s">
        <v>573</v>
      </c>
    </row>
    <row r="200" spans="5:13" x14ac:dyDescent="0.3">
      <c r="E200" s="2" t="s">
        <v>574</v>
      </c>
    </row>
    <row r="201" spans="5:13" x14ac:dyDescent="0.3">
      <c r="E201" s="2" t="s">
        <v>575</v>
      </c>
    </row>
    <row r="202" spans="5:13" x14ac:dyDescent="0.3">
      <c r="E202" s="2" t="s">
        <v>320</v>
      </c>
    </row>
    <row r="203" spans="5:13" x14ac:dyDescent="0.3">
      <c r="E203" s="2" t="s">
        <v>576</v>
      </c>
    </row>
    <row r="204" spans="5:13" x14ac:dyDescent="0.3">
      <c r="E204" s="2" t="s">
        <v>577</v>
      </c>
    </row>
    <row r="205" spans="5:13" x14ac:dyDescent="0.3">
      <c r="E205" s="2" t="s">
        <v>578</v>
      </c>
    </row>
    <row r="206" spans="5:13" x14ac:dyDescent="0.3">
      <c r="E206" s="2" t="s">
        <v>579</v>
      </c>
    </row>
    <row r="207" spans="5:13" x14ac:dyDescent="0.3">
      <c r="E207" s="2" t="s">
        <v>580</v>
      </c>
    </row>
    <row r="208" spans="5:13" x14ac:dyDescent="0.3">
      <c r="E208" s="2" t="s">
        <v>581</v>
      </c>
    </row>
    <row r="209" spans="5:5" x14ac:dyDescent="0.3">
      <c r="E209" s="2" t="s">
        <v>582</v>
      </c>
    </row>
    <row r="210" spans="5:5" x14ac:dyDescent="0.3">
      <c r="E210" s="2" t="s">
        <v>583</v>
      </c>
    </row>
    <row r="211" spans="5:5" x14ac:dyDescent="0.3">
      <c r="E211" s="2" t="s">
        <v>584</v>
      </c>
    </row>
    <row r="212" spans="5:5" x14ac:dyDescent="0.3">
      <c r="E212" s="2" t="s">
        <v>585</v>
      </c>
    </row>
    <row r="213" spans="5:5" x14ac:dyDescent="0.3">
      <c r="E213" s="2" t="s">
        <v>586</v>
      </c>
    </row>
    <row r="214" spans="5:5" x14ac:dyDescent="0.3">
      <c r="E214" s="2" t="s">
        <v>587</v>
      </c>
    </row>
    <row r="215" spans="5:5" x14ac:dyDescent="0.3">
      <c r="E215" s="2" t="s">
        <v>588</v>
      </c>
    </row>
    <row r="216" spans="5:5" x14ac:dyDescent="0.3">
      <c r="E216" s="2" t="s">
        <v>589</v>
      </c>
    </row>
    <row r="217" spans="5:5" x14ac:dyDescent="0.3">
      <c r="E217" s="2" t="s">
        <v>590</v>
      </c>
    </row>
    <row r="218" spans="5:5" x14ac:dyDescent="0.3">
      <c r="E218" s="2" t="s">
        <v>591</v>
      </c>
    </row>
  </sheetData>
  <sortState xmlns:xlrd2="http://schemas.microsoft.com/office/spreadsheetml/2017/richdata2" ref="A2:A218">
    <sortCondition ref="A1:A218"/>
  </sortState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C9CF-5741-40C9-84A8-FBDBF7B5EE5B}">
  <dimension ref="A1:J218"/>
  <sheetViews>
    <sheetView tabSelected="1" workbookViewId="0">
      <selection activeCell="B3" sqref="B3"/>
    </sheetView>
  </sheetViews>
  <sheetFormatPr baseColWidth="10" defaultRowHeight="14.4" x14ac:dyDescent="0.3"/>
  <cols>
    <col min="7" max="7" width="35.6640625" bestFit="1" customWidth="1"/>
  </cols>
  <sheetData>
    <row r="1" spans="1:10" x14ac:dyDescent="0.3">
      <c r="A1" t="s">
        <v>2571</v>
      </c>
      <c r="B1" t="s">
        <v>2593</v>
      </c>
      <c r="C1" t="s">
        <v>2594</v>
      </c>
      <c r="D1" t="s">
        <v>2595</v>
      </c>
      <c r="E1" t="s">
        <v>2767</v>
      </c>
      <c r="F1" t="s">
        <v>3905</v>
      </c>
      <c r="G1" t="s">
        <v>2481</v>
      </c>
      <c r="I1" t="s">
        <v>2623</v>
      </c>
      <c r="J1">
        <f ca="1">SUMIF(B:B,"&lt;&gt;1")</f>
        <v>442</v>
      </c>
    </row>
    <row r="2" spans="1:10" x14ac:dyDescent="0.3">
      <c r="A2" t="str" cm="1">
        <f t="array" ref="A2:A34">TRANSPOSE(Tabla1[#Headers])</f>
        <v>Revólver</v>
      </c>
      <c r="B2">
        <f ca="1">COUNTA(INDIRECT(A2&amp;"[Título]"))</f>
        <v>192</v>
      </c>
      <c r="C2">
        <f ca="1">COUNTIF(INDIRECT(A2&amp;"[html]"),"OK")</f>
        <v>155</v>
      </c>
      <c r="D2" s="21">
        <f ca="1">C2/B2</f>
        <v>0.80729166666666663</v>
      </c>
      <c r="E2" t="str">
        <f>SUBSTITUTE(SUBSTITUTE(SUBSTITUTE(SUBSTITUTE(SUBSTITUTE(SUBSTITUTE(SUBSTITUTE(SUBSTITUTE(SUBSTITUTE(SUBSTITUTE(SUBSTITUTE(LOWER(A2),"á","a"),"é","e"),"í","i"),"ó","o"),"ú","u")," ","_"),"¿",""),"?",""),"¡",""),"!",""),",","")</f>
        <v>revolver</v>
      </c>
      <c r="F2" t="s">
        <v>3906</v>
      </c>
      <c r="G2" t="str">
        <f>"&lt;a href=""#"&amp;F2&amp;""" class=""btn-indice""&gt;"&amp;A2&amp;"&lt;/a&gt;"</f>
        <v>&lt;a href="#rev" class="btn-indice"&gt;Revólver&lt;/a&gt;</v>
      </c>
      <c r="I2" t="s">
        <v>2622</v>
      </c>
      <c r="J2">
        <f ca="1">_xlfn.AGGREGATE(9,6,C:C)</f>
        <v>280</v>
      </c>
    </row>
    <row r="3" spans="1:10" x14ac:dyDescent="0.3">
      <c r="A3" t="str">
        <v>LOVG</v>
      </c>
      <c r="B3">
        <f t="shared" ref="B3:B34" ca="1" si="0">COUNTA(INDIRECT(A3&amp;"[Título]"))</f>
        <v>125</v>
      </c>
      <c r="C3">
        <f t="shared" ref="C3:C34" ca="1" si="1">COUNTIF(INDIRECT(A3&amp;"[html]"),"OK")</f>
        <v>118</v>
      </c>
      <c r="D3" s="21">
        <f t="shared" ref="D3:D34" ca="1" si="2">C3/B3</f>
        <v>0.94399999999999995</v>
      </c>
      <c r="E3" t="str">
        <f t="shared" ref="E3:E34" si="3">SUBSTITUTE(SUBSTITUTE(SUBSTITUTE(SUBSTITUTE(SUBSTITUTE(SUBSTITUTE(SUBSTITUTE(SUBSTITUTE(SUBSTITUTE(SUBSTITUTE(SUBSTITUTE(LOWER(A3),"á","a"),"é","e"),"í","i"),"ó","o"),"ú","u")," ","_"),"¿",""),"?",""),"¡",""),"!",""),",","")</f>
        <v>lovg</v>
      </c>
      <c r="F3" t="s">
        <v>3909</v>
      </c>
      <c r="G3" t="str">
        <f t="shared" ref="G3:G34" si="4">"&lt;a href=""#"&amp;F3&amp;""" class=""btn-indice""&gt;"&amp;A3&amp;"&lt;/a&gt;"</f>
        <v>&lt;a href="#lovg" class="btn-indice"&gt;LOVG&lt;/a&gt;</v>
      </c>
      <c r="I3" t="s">
        <v>2624</v>
      </c>
      <c r="J3" s="21">
        <f ca="1">J2/J1</f>
        <v>0.63348416289592757</v>
      </c>
    </row>
    <row r="4" spans="1:10" x14ac:dyDescent="0.3">
      <c r="A4" t="str">
        <v>Amaral</v>
      </c>
      <c r="B4">
        <f t="shared" ca="1" si="0"/>
        <v>125</v>
      </c>
      <c r="C4">
        <f t="shared" ca="1" si="1"/>
        <v>7</v>
      </c>
      <c r="D4" s="21">
        <f t="shared" ca="1" si="2"/>
        <v>5.6000000000000001E-2</v>
      </c>
      <c r="E4" t="str">
        <f t="shared" si="3"/>
        <v>amaral</v>
      </c>
      <c r="F4" t="s">
        <v>3910</v>
      </c>
      <c r="G4" t="str">
        <f t="shared" si="4"/>
        <v>&lt;a href="#amar" class="btn-indice"&gt;Amaral&lt;/a&gt;</v>
      </c>
    </row>
    <row r="5" spans="1:10" x14ac:dyDescent="0.3">
      <c r="A5" t="str">
        <v>El Kanka</v>
      </c>
      <c r="B5">
        <f t="shared" ca="1" si="0"/>
        <v>1</v>
      </c>
      <c r="C5" t="e">
        <f t="shared" ca="1" si="1"/>
        <v>#REF!</v>
      </c>
      <c r="D5" s="21" t="e">
        <f t="shared" ca="1" si="2"/>
        <v>#REF!</v>
      </c>
      <c r="E5" t="str">
        <f t="shared" si="3"/>
        <v>el_kanka</v>
      </c>
      <c r="F5" t="s">
        <v>3911</v>
      </c>
      <c r="G5" t="str">
        <f t="shared" si="4"/>
        <v>&lt;a href="#kank" class="btn-indice"&gt;El Kanka&lt;/a&gt;</v>
      </c>
    </row>
    <row r="6" spans="1:10" x14ac:dyDescent="0.3">
      <c r="A6" t="str">
        <v>José Luis Perales</v>
      </c>
      <c r="B6">
        <f t="shared" ca="1" si="0"/>
        <v>1</v>
      </c>
      <c r="C6" t="e">
        <f t="shared" ca="1" si="1"/>
        <v>#REF!</v>
      </c>
      <c r="D6" s="21" t="e">
        <f t="shared" ca="1" si="2"/>
        <v>#REF!</v>
      </c>
      <c r="E6" t="str">
        <f t="shared" si="3"/>
        <v>jose_luis_perales</v>
      </c>
      <c r="F6" t="s">
        <v>3912</v>
      </c>
      <c r="G6" t="str">
        <f t="shared" si="4"/>
        <v>&lt;a href="#jlper" class="btn-indice"&gt;José Luis Perales&lt;/a&gt;</v>
      </c>
    </row>
    <row r="7" spans="1:10" x14ac:dyDescent="0.3">
      <c r="A7" t="str">
        <v>El Canto del Loco</v>
      </c>
      <c r="B7">
        <f t="shared" ca="1" si="0"/>
        <v>1</v>
      </c>
      <c r="C7" t="e">
        <f t="shared" ca="1" si="1"/>
        <v>#REF!</v>
      </c>
      <c r="D7" s="21" t="e">
        <f t="shared" ca="1" si="2"/>
        <v>#REF!</v>
      </c>
      <c r="E7" t="str">
        <f t="shared" si="3"/>
        <v>el_canto_del_loco</v>
      </c>
      <c r="F7" t="s">
        <v>3913</v>
      </c>
      <c r="G7" t="str">
        <f t="shared" si="4"/>
        <v>&lt;a href="#ecdl" class="btn-indice"&gt;El Canto del Loco&lt;/a&gt;</v>
      </c>
    </row>
    <row r="8" spans="1:10" x14ac:dyDescent="0.3">
      <c r="A8" t="str">
        <v>Bely Basarte</v>
      </c>
      <c r="B8">
        <f t="shared" ca="1" si="0"/>
        <v>1</v>
      </c>
      <c r="C8" t="e">
        <f t="shared" ca="1" si="1"/>
        <v>#REF!</v>
      </c>
      <c r="D8" s="21" t="e">
        <f t="shared" ca="1" si="2"/>
        <v>#REF!</v>
      </c>
      <c r="E8" t="str">
        <f t="shared" si="3"/>
        <v>bely_basarte</v>
      </c>
      <c r="F8" t="s">
        <v>3914</v>
      </c>
      <c r="G8" t="str">
        <f t="shared" si="4"/>
        <v>&lt;a href="#bely" class="btn-indice"&gt;Bely Basarte&lt;/a&gt;</v>
      </c>
    </row>
    <row r="9" spans="1:10" x14ac:dyDescent="0.3">
      <c r="A9" t="str">
        <v>Ismael Serrano</v>
      </c>
      <c r="B9">
        <f t="shared" ca="1" si="0"/>
        <v>1</v>
      </c>
      <c r="C9" t="e">
        <f t="shared" ca="1" si="1"/>
        <v>#REF!</v>
      </c>
      <c r="D9" s="21" t="e">
        <f t="shared" ca="1" si="2"/>
        <v>#REF!</v>
      </c>
      <c r="E9" t="str">
        <f t="shared" si="3"/>
        <v>ismael_serrano</v>
      </c>
      <c r="F9" t="s">
        <v>3915</v>
      </c>
      <c r="G9" t="str">
        <f t="shared" si="4"/>
        <v>&lt;a href="#iserr" class="btn-indice"&gt;Ismael Serrano&lt;/a&gt;</v>
      </c>
    </row>
    <row r="10" spans="1:10" x14ac:dyDescent="0.3">
      <c r="A10" t="str">
        <v>Funambulista</v>
      </c>
      <c r="B10">
        <f t="shared" ca="1" si="0"/>
        <v>1</v>
      </c>
      <c r="C10" t="e">
        <f t="shared" ca="1" si="1"/>
        <v>#REF!</v>
      </c>
      <c r="D10" s="21" t="e">
        <f t="shared" ca="1" si="2"/>
        <v>#REF!</v>
      </c>
      <c r="E10" t="str">
        <f t="shared" si="3"/>
        <v>funambulista</v>
      </c>
      <c r="F10" t="s">
        <v>3916</v>
      </c>
      <c r="G10" t="str">
        <f t="shared" si="4"/>
        <v>&lt;a href="#funa" class="btn-indice"&gt;Funambulista&lt;/a&gt;</v>
      </c>
    </row>
    <row r="11" spans="1:10" x14ac:dyDescent="0.3">
      <c r="A11" t="str">
        <v>Lagarto Amarillo</v>
      </c>
      <c r="B11">
        <f t="shared" ca="1" si="0"/>
        <v>1</v>
      </c>
      <c r="C11" t="e">
        <f t="shared" ca="1" si="1"/>
        <v>#REF!</v>
      </c>
      <c r="D11" s="21" t="e">
        <f t="shared" ca="1" si="2"/>
        <v>#REF!</v>
      </c>
      <c r="E11" t="str">
        <f t="shared" si="3"/>
        <v>lagarto_amarillo</v>
      </c>
      <c r="F11" t="s">
        <v>3907</v>
      </c>
      <c r="G11" t="str">
        <f t="shared" si="4"/>
        <v>&lt;a href="#lag" class="btn-indice"&gt;Lagarto Amarillo&lt;/a&gt;</v>
      </c>
    </row>
    <row r="12" spans="1:10" x14ac:dyDescent="0.3">
      <c r="A12" t="str">
        <v>Maldita Nerea</v>
      </c>
      <c r="B12">
        <f t="shared" ca="1" si="0"/>
        <v>1</v>
      </c>
      <c r="C12" t="e">
        <f t="shared" ca="1" si="1"/>
        <v>#REF!</v>
      </c>
      <c r="D12" s="21" t="e">
        <f t="shared" ca="1" si="2"/>
        <v>#REF!</v>
      </c>
      <c r="E12" t="str">
        <f t="shared" si="3"/>
        <v>maldita_nerea</v>
      </c>
      <c r="F12" t="s">
        <v>3917</v>
      </c>
      <c r="G12" t="str">
        <f t="shared" si="4"/>
        <v>&lt;a href="#mner" class="btn-indice"&gt;Maldita Nerea&lt;/a&gt;</v>
      </c>
    </row>
    <row r="13" spans="1:10" x14ac:dyDescent="0.3">
      <c r="A13" t="str">
        <v>Tontxu</v>
      </c>
      <c r="B13">
        <f t="shared" ca="1" si="0"/>
        <v>1</v>
      </c>
      <c r="C13" t="e">
        <f t="shared" ca="1" si="1"/>
        <v>#REF!</v>
      </c>
      <c r="D13" s="21" t="e">
        <f t="shared" ca="1" si="2"/>
        <v>#REF!</v>
      </c>
      <c r="E13" t="str">
        <f t="shared" si="3"/>
        <v>tontxu</v>
      </c>
      <c r="F13" t="s">
        <v>3918</v>
      </c>
      <c r="G13" t="str">
        <f t="shared" si="4"/>
        <v>&lt;a href="#ttxu" class="btn-indice"&gt;Tontxu&lt;/a&gt;</v>
      </c>
    </row>
    <row r="14" spans="1:10" x14ac:dyDescent="0.3">
      <c r="A14" t="str">
        <v>Joaquín Sabina</v>
      </c>
      <c r="B14">
        <f t="shared" ca="1" si="0"/>
        <v>1</v>
      </c>
      <c r="C14" t="e">
        <f t="shared" ca="1" si="1"/>
        <v>#REF!</v>
      </c>
      <c r="D14" s="21" t="e">
        <f t="shared" ca="1" si="2"/>
        <v>#REF!</v>
      </c>
      <c r="E14" t="str">
        <f t="shared" si="3"/>
        <v>joaquin_sabina</v>
      </c>
      <c r="F14" t="s">
        <v>3919</v>
      </c>
      <c r="G14" t="str">
        <f t="shared" si="4"/>
        <v>&lt;a href="#jsab" class="btn-indice"&gt;Joaquín Sabina&lt;/a&gt;</v>
      </c>
    </row>
    <row r="15" spans="1:10" x14ac:dyDescent="0.3">
      <c r="A15" t="str">
        <v>Pereza</v>
      </c>
      <c r="B15">
        <f t="shared" ca="1" si="0"/>
        <v>1</v>
      </c>
      <c r="C15" t="e">
        <f t="shared" ca="1" si="1"/>
        <v>#REF!</v>
      </c>
      <c r="D15" s="21" t="e">
        <f t="shared" ca="1" si="2"/>
        <v>#REF!</v>
      </c>
      <c r="E15" t="str">
        <f t="shared" si="3"/>
        <v>pereza</v>
      </c>
      <c r="F15" t="s">
        <v>3920</v>
      </c>
      <c r="G15" t="str">
        <f t="shared" si="4"/>
        <v>&lt;a href="#pere" class="btn-indice"&gt;Pereza&lt;/a&gt;</v>
      </c>
    </row>
    <row r="16" spans="1:10" x14ac:dyDescent="0.3">
      <c r="A16" t="str">
        <v>Leiva</v>
      </c>
      <c r="B16">
        <f t="shared" ca="1" si="0"/>
        <v>1</v>
      </c>
      <c r="C16" t="e">
        <f t="shared" ca="1" si="1"/>
        <v>#REF!</v>
      </c>
      <c r="D16" s="21" t="e">
        <f t="shared" ca="1" si="2"/>
        <v>#REF!</v>
      </c>
      <c r="E16" t="str">
        <f t="shared" si="3"/>
        <v>leiva</v>
      </c>
      <c r="F16" t="s">
        <v>3921</v>
      </c>
      <c r="G16" t="str">
        <f t="shared" si="4"/>
        <v>&lt;a href="#leiv" class="btn-indice"&gt;Leiva&lt;/a&gt;</v>
      </c>
    </row>
    <row r="17" spans="1:7" x14ac:dyDescent="0.3">
      <c r="A17" t="str">
        <v>Sidecars</v>
      </c>
      <c r="B17">
        <f t="shared" ca="1" si="0"/>
        <v>1</v>
      </c>
      <c r="C17" t="e">
        <f t="shared" ca="1" si="1"/>
        <v>#REF!</v>
      </c>
      <c r="D17" s="21" t="e">
        <f t="shared" ca="1" si="2"/>
        <v>#REF!</v>
      </c>
      <c r="E17" t="str">
        <f t="shared" si="3"/>
        <v>sidecars</v>
      </c>
      <c r="F17" t="s">
        <v>3922</v>
      </c>
      <c r="G17" t="str">
        <f t="shared" si="4"/>
        <v>&lt;a href="#side" class="btn-indice"&gt;Sidecars&lt;/a&gt;</v>
      </c>
    </row>
    <row r="18" spans="1:7" x14ac:dyDescent="0.3">
      <c r="A18" t="str">
        <v>Andrés Suárez</v>
      </c>
      <c r="B18">
        <f t="shared" ca="1" si="0"/>
        <v>1</v>
      </c>
      <c r="C18" t="e">
        <f t="shared" ca="1" si="1"/>
        <v>#REF!</v>
      </c>
      <c r="D18" s="21" t="e">
        <f t="shared" ca="1" si="2"/>
        <v>#REF!</v>
      </c>
      <c r="E18" t="str">
        <f t="shared" si="3"/>
        <v>andres_suarez</v>
      </c>
      <c r="F18" t="s">
        <v>3926</v>
      </c>
      <c r="G18" t="str">
        <f t="shared" si="4"/>
        <v>&lt;a href="#suar" class="btn-indice"&gt;Andrés Suárez&lt;/a&gt;</v>
      </c>
    </row>
    <row r="19" spans="1:7" x14ac:dyDescent="0.3">
      <c r="A19" t="str">
        <v>Rafa Pons</v>
      </c>
      <c r="B19">
        <f t="shared" ca="1" si="0"/>
        <v>1</v>
      </c>
      <c r="C19" t="e">
        <f t="shared" ca="1" si="1"/>
        <v>#REF!</v>
      </c>
      <c r="D19" s="21" t="e">
        <f t="shared" ca="1" si="2"/>
        <v>#REF!</v>
      </c>
      <c r="E19" t="str">
        <f t="shared" si="3"/>
        <v>rafa_pons</v>
      </c>
      <c r="F19" t="s">
        <v>3927</v>
      </c>
      <c r="G19" t="str">
        <f t="shared" si="4"/>
        <v>&lt;a href="#rpons" class="btn-indice"&gt;Rafa Pons&lt;/a&gt;</v>
      </c>
    </row>
    <row r="20" spans="1:7" x14ac:dyDescent="0.3">
      <c r="A20" t="str">
        <v>MClan</v>
      </c>
      <c r="B20">
        <f t="shared" ca="1" si="0"/>
        <v>1</v>
      </c>
      <c r="C20" t="e">
        <f t="shared" ca="1" si="1"/>
        <v>#REF!</v>
      </c>
      <c r="D20" s="21" t="e">
        <f t="shared" ca="1" si="2"/>
        <v>#REF!</v>
      </c>
      <c r="E20" t="str">
        <f t="shared" si="3"/>
        <v>mclan</v>
      </c>
      <c r="F20" t="s">
        <v>3928</v>
      </c>
      <c r="G20" t="str">
        <f t="shared" si="4"/>
        <v>&lt;a href="#mclan" class="btn-indice"&gt;MClan&lt;/a&gt;</v>
      </c>
    </row>
    <row r="21" spans="1:7" x14ac:dyDescent="0.3">
      <c r="A21" t="str">
        <v>Ella Baila Sola</v>
      </c>
      <c r="B21">
        <f t="shared" ca="1" si="0"/>
        <v>1</v>
      </c>
      <c r="C21" t="e">
        <f t="shared" ca="1" si="1"/>
        <v>#REF!</v>
      </c>
      <c r="D21" s="21" t="e">
        <f t="shared" ca="1" si="2"/>
        <v>#REF!</v>
      </c>
      <c r="E21" t="str">
        <f t="shared" si="3"/>
        <v>ella_baila_sola</v>
      </c>
      <c r="F21" t="s">
        <v>3929</v>
      </c>
      <c r="G21" t="str">
        <f t="shared" si="4"/>
        <v>&lt;a href="#ebs" class="btn-indice"&gt;Ella Baila Sola&lt;/a&gt;</v>
      </c>
    </row>
    <row r="22" spans="1:7" x14ac:dyDescent="0.3">
      <c r="A22" t="str">
        <v>Marea</v>
      </c>
      <c r="B22">
        <f t="shared" ca="1" si="0"/>
        <v>1</v>
      </c>
      <c r="C22" t="e">
        <f t="shared" ca="1" si="1"/>
        <v>#REF!</v>
      </c>
      <c r="D22" s="21" t="e">
        <f t="shared" ca="1" si="2"/>
        <v>#REF!</v>
      </c>
      <c r="E22" t="str">
        <f t="shared" si="3"/>
        <v>marea</v>
      </c>
      <c r="F22" t="s">
        <v>3908</v>
      </c>
      <c r="G22" t="str">
        <f t="shared" si="4"/>
        <v>&lt;a href="#mar" class="btn-indice"&gt;Marea&lt;/a&gt;</v>
      </c>
    </row>
    <row r="23" spans="1:7" x14ac:dyDescent="0.3">
      <c r="A23" t="str">
        <v>Otros</v>
      </c>
      <c r="B23">
        <f t="shared" ca="1" si="0"/>
        <v>1</v>
      </c>
      <c r="C23" t="e">
        <f t="shared" ca="1" si="1"/>
        <v>#REF!</v>
      </c>
      <c r="D23" s="21" t="e">
        <f t="shared" ca="1" si="2"/>
        <v>#REF!</v>
      </c>
      <c r="E23" t="str">
        <f t="shared" si="3"/>
        <v>otros</v>
      </c>
      <c r="F23" t="s">
        <v>3930</v>
      </c>
      <c r="G23" t="str">
        <f t="shared" si="4"/>
        <v>&lt;a href="#otros" class="btn-indice"&gt;Otros&lt;/a&gt;</v>
      </c>
    </row>
    <row r="24" spans="1:7" x14ac:dyDescent="0.3">
      <c r="A24" t="str">
        <v>Conchita</v>
      </c>
      <c r="B24">
        <f t="shared" ca="1" si="0"/>
        <v>1</v>
      </c>
      <c r="C24" t="e">
        <f t="shared" ca="1" si="1"/>
        <v>#REF!</v>
      </c>
      <c r="D24" s="21" t="e">
        <f t="shared" ca="1" si="2"/>
        <v>#REF!</v>
      </c>
      <c r="E24" t="str">
        <f t="shared" si="3"/>
        <v>conchita</v>
      </c>
      <c r="F24" t="s">
        <v>3931</v>
      </c>
      <c r="G24" t="str">
        <f t="shared" si="4"/>
        <v>&lt;a href="#conch" class="btn-indice"&gt;Conchita&lt;/a&gt;</v>
      </c>
    </row>
    <row r="25" spans="1:7" x14ac:dyDescent="0.3">
      <c r="A25" t="str">
        <v>Taburete</v>
      </c>
      <c r="B25">
        <f t="shared" ca="1" si="0"/>
        <v>1</v>
      </c>
      <c r="C25" t="e">
        <f t="shared" ca="1" si="1"/>
        <v>#REF!</v>
      </c>
      <c r="D25" s="21" t="e">
        <f t="shared" ca="1" si="2"/>
        <v>#REF!</v>
      </c>
      <c r="E25" t="str">
        <f t="shared" si="3"/>
        <v>taburete</v>
      </c>
      <c r="F25" t="s">
        <v>3923</v>
      </c>
      <c r="G25" t="str">
        <f t="shared" si="4"/>
        <v>&lt;a href="#tabu" class="btn-indice"&gt;Taburete&lt;/a&gt;</v>
      </c>
    </row>
    <row r="26" spans="1:7" x14ac:dyDescent="0.3">
      <c r="A26" t="str">
        <v>Despistaos</v>
      </c>
      <c r="B26">
        <f t="shared" ca="1" si="0"/>
        <v>1</v>
      </c>
      <c r="C26" t="e">
        <f t="shared" ca="1" si="1"/>
        <v>#REF!</v>
      </c>
      <c r="D26" s="21" t="e">
        <f t="shared" ca="1" si="2"/>
        <v>#REF!</v>
      </c>
      <c r="E26" t="str">
        <f t="shared" si="3"/>
        <v>despistaos</v>
      </c>
      <c r="F26" t="s">
        <v>3924</v>
      </c>
      <c r="G26" t="str">
        <f t="shared" si="4"/>
        <v>&lt;a href="#desp" class="btn-indice"&gt;Despistaos&lt;/a&gt;</v>
      </c>
    </row>
    <row r="27" spans="1:7" x14ac:dyDescent="0.3">
      <c r="A27" t="str">
        <v>Un pingüino en mi ascensor</v>
      </c>
      <c r="B27">
        <f t="shared" ca="1" si="0"/>
        <v>1</v>
      </c>
      <c r="C27" t="e">
        <f t="shared" ca="1" si="1"/>
        <v>#REF!</v>
      </c>
      <c r="D27" s="21" t="e">
        <f t="shared" ca="1" si="2"/>
        <v>#REF!</v>
      </c>
      <c r="E27" t="str">
        <f t="shared" si="3"/>
        <v>un_pingüino_en_mi_ascensor</v>
      </c>
      <c r="F27" t="s">
        <v>3932</v>
      </c>
      <c r="G27" t="str">
        <f t="shared" si="4"/>
        <v>&lt;a href="#upema" class="btn-indice"&gt;Un pingüino en mi ascensor&lt;/a&gt;</v>
      </c>
    </row>
    <row r="28" spans="1:7" x14ac:dyDescent="0.3">
      <c r="A28" t="str">
        <v>Fito</v>
      </c>
      <c r="B28">
        <f t="shared" ca="1" si="0"/>
        <v>1</v>
      </c>
      <c r="C28" t="e">
        <f t="shared" ca="1" si="1"/>
        <v>#REF!</v>
      </c>
      <c r="D28" s="21" t="e">
        <f t="shared" ca="1" si="2"/>
        <v>#REF!</v>
      </c>
      <c r="E28" t="str">
        <f t="shared" si="3"/>
        <v>fito</v>
      </c>
      <c r="F28" t="s">
        <v>3925</v>
      </c>
      <c r="G28" t="str">
        <f t="shared" si="4"/>
        <v>&lt;a href="#fito" class="btn-indice"&gt;Fito&lt;/a&gt;</v>
      </c>
    </row>
    <row r="29" spans="1:7" x14ac:dyDescent="0.3">
      <c r="A29" t="str">
        <v>Cariño</v>
      </c>
      <c r="B29">
        <f t="shared" ca="1" si="0"/>
        <v>1</v>
      </c>
      <c r="C29" t="e">
        <f t="shared" ca="1" si="1"/>
        <v>#REF!</v>
      </c>
      <c r="D29" s="21" t="e">
        <f t="shared" ca="1" si="2"/>
        <v>#REF!</v>
      </c>
      <c r="E29" t="str">
        <f t="shared" si="3"/>
        <v>cariño</v>
      </c>
      <c r="F29" t="s">
        <v>3933</v>
      </c>
      <c r="G29" t="str">
        <f t="shared" si="4"/>
        <v>&lt;a href="#cño" class="btn-indice"&gt;Cariño&lt;/a&gt;</v>
      </c>
    </row>
    <row r="30" spans="1:7" x14ac:dyDescent="0.3">
      <c r="A30" t="str">
        <v>Sofía Ellar</v>
      </c>
      <c r="B30">
        <f t="shared" ca="1" si="0"/>
        <v>1</v>
      </c>
      <c r="C30" t="e">
        <f t="shared" ca="1" si="1"/>
        <v>#REF!</v>
      </c>
      <c r="D30" s="21" t="e">
        <f t="shared" ca="1" si="2"/>
        <v>#REF!</v>
      </c>
      <c r="E30" t="str">
        <f t="shared" si="3"/>
        <v>sofia_ellar</v>
      </c>
      <c r="F30" t="s">
        <v>3934</v>
      </c>
      <c r="G30" t="str">
        <f t="shared" si="4"/>
        <v>&lt;a href="#ellar" class="btn-indice"&gt;Sofía Ellar&lt;/a&gt;</v>
      </c>
    </row>
    <row r="31" spans="1:7" x14ac:dyDescent="0.3">
      <c r="A31" t="str">
        <v>Valira</v>
      </c>
      <c r="B31">
        <f t="shared" ca="1" si="0"/>
        <v>1</v>
      </c>
      <c r="C31" t="e">
        <f t="shared" ca="1" si="1"/>
        <v>#REF!</v>
      </c>
      <c r="D31" s="21" t="e">
        <f t="shared" ca="1" si="2"/>
        <v>#REF!</v>
      </c>
      <c r="E31" t="str">
        <f t="shared" si="3"/>
        <v>valira</v>
      </c>
      <c r="F31" t="s">
        <v>3935</v>
      </c>
      <c r="G31" t="str">
        <f t="shared" si="4"/>
        <v>&lt;a href="#vali" class="btn-indice"&gt;Valira&lt;/a&gt;</v>
      </c>
    </row>
    <row r="32" spans="1:7" x14ac:dyDescent="0.3">
      <c r="A32" t="str">
        <v>Mikel Erentxun</v>
      </c>
      <c r="B32">
        <f t="shared" ca="1" si="0"/>
        <v>1</v>
      </c>
      <c r="C32" t="e">
        <f t="shared" ca="1" si="1"/>
        <v>#REF!</v>
      </c>
      <c r="D32" s="21" t="e">
        <f t="shared" ca="1" si="2"/>
        <v>#REF!</v>
      </c>
      <c r="E32" t="str">
        <f t="shared" si="3"/>
        <v>mikel_erentxun</v>
      </c>
      <c r="F32" t="s">
        <v>3936</v>
      </c>
      <c r="G32" t="str">
        <f t="shared" si="4"/>
        <v>&lt;a href="#eren" class="btn-indice"&gt;Mikel Erentxun&lt;/a&gt;</v>
      </c>
    </row>
    <row r="33" spans="1:7" x14ac:dyDescent="0.3">
      <c r="A33" t="str">
        <v>Estopa</v>
      </c>
      <c r="B33">
        <f t="shared" ca="1" si="0"/>
        <v>1</v>
      </c>
      <c r="C33" t="e">
        <f t="shared" ca="1" si="1"/>
        <v>#REF!</v>
      </c>
      <c r="D33" s="21" t="e">
        <f t="shared" ca="1" si="2"/>
        <v>#REF!</v>
      </c>
      <c r="E33" t="str">
        <f t="shared" si="3"/>
        <v>estopa</v>
      </c>
      <c r="F33" t="s">
        <v>3937</v>
      </c>
      <c r="G33" t="str">
        <f t="shared" si="4"/>
        <v>&lt;a href="#etpa" class="btn-indice"&gt;Estopa&lt;/a&gt;</v>
      </c>
    </row>
    <row r="34" spans="1:7" x14ac:dyDescent="0.3">
      <c r="A34" t="str">
        <v>Les Luthiers</v>
      </c>
      <c r="B34">
        <f t="shared" ca="1" si="0"/>
        <v>1</v>
      </c>
      <c r="C34" t="e">
        <f t="shared" ca="1" si="1"/>
        <v>#REF!</v>
      </c>
      <c r="D34" s="21" t="e">
        <f t="shared" ca="1" si="2"/>
        <v>#REF!</v>
      </c>
      <c r="E34" t="str">
        <f t="shared" si="3"/>
        <v>les_luthiers</v>
      </c>
      <c r="F34" t="s">
        <v>3938</v>
      </c>
      <c r="G34" t="str">
        <f t="shared" si="4"/>
        <v>&lt;a href="#luth" class="btn-indice"&gt;Les Luthiers&lt;/a&gt;</v>
      </c>
    </row>
    <row r="35" spans="1:7" x14ac:dyDescent="0.3">
      <c r="D35" s="21"/>
    </row>
    <row r="36" spans="1:7" x14ac:dyDescent="0.3">
      <c r="D36" s="21"/>
    </row>
    <row r="37" spans="1:7" x14ac:dyDescent="0.3">
      <c r="D37" s="21"/>
    </row>
    <row r="38" spans="1:7" x14ac:dyDescent="0.3">
      <c r="D38" s="21"/>
    </row>
    <row r="39" spans="1:7" x14ac:dyDescent="0.3">
      <c r="D39" s="21"/>
    </row>
    <row r="40" spans="1:7" x14ac:dyDescent="0.3">
      <c r="D40" s="21"/>
    </row>
    <row r="41" spans="1:7" x14ac:dyDescent="0.3">
      <c r="D41" s="21"/>
    </row>
    <row r="42" spans="1:7" x14ac:dyDescent="0.3">
      <c r="D42" s="21"/>
    </row>
    <row r="43" spans="1:7" x14ac:dyDescent="0.3">
      <c r="D43" s="21"/>
    </row>
    <row r="44" spans="1:7" x14ac:dyDescent="0.3">
      <c r="D44" s="21"/>
    </row>
    <row r="45" spans="1:7" x14ac:dyDescent="0.3">
      <c r="D45" s="21"/>
    </row>
    <row r="46" spans="1:7" x14ac:dyDescent="0.3">
      <c r="D46" s="21"/>
    </row>
    <row r="47" spans="1:7" x14ac:dyDescent="0.3">
      <c r="D47" s="21"/>
    </row>
    <row r="48" spans="1:7" x14ac:dyDescent="0.3">
      <c r="D48" s="21"/>
    </row>
    <row r="49" spans="4:4" x14ac:dyDescent="0.3">
      <c r="D49" s="21"/>
    </row>
    <row r="50" spans="4:4" x14ac:dyDescent="0.3">
      <c r="D50" s="21"/>
    </row>
    <row r="51" spans="4:4" x14ac:dyDescent="0.3">
      <c r="D51" s="21"/>
    </row>
    <row r="52" spans="4:4" x14ac:dyDescent="0.3">
      <c r="D52" s="21"/>
    </row>
    <row r="53" spans="4:4" x14ac:dyDescent="0.3">
      <c r="D53" s="21"/>
    </row>
    <row r="54" spans="4:4" x14ac:dyDescent="0.3">
      <c r="D54" s="21"/>
    </row>
    <row r="55" spans="4:4" x14ac:dyDescent="0.3">
      <c r="D55" s="21"/>
    </row>
    <row r="56" spans="4:4" x14ac:dyDescent="0.3">
      <c r="D56" s="21"/>
    </row>
    <row r="57" spans="4:4" x14ac:dyDescent="0.3">
      <c r="D57" s="21"/>
    </row>
    <row r="58" spans="4:4" x14ac:dyDescent="0.3">
      <c r="D58" s="21"/>
    </row>
    <row r="59" spans="4:4" x14ac:dyDescent="0.3">
      <c r="D59" s="21"/>
    </row>
    <row r="60" spans="4:4" x14ac:dyDescent="0.3">
      <c r="D60" s="21"/>
    </row>
    <row r="61" spans="4:4" x14ac:dyDescent="0.3">
      <c r="D61" s="21"/>
    </row>
    <row r="62" spans="4:4" x14ac:dyDescent="0.3">
      <c r="D62" s="21"/>
    </row>
    <row r="63" spans="4:4" x14ac:dyDescent="0.3">
      <c r="D63" s="21"/>
    </row>
    <row r="64" spans="4:4" x14ac:dyDescent="0.3">
      <c r="D64" s="21"/>
    </row>
    <row r="65" spans="4:4" x14ac:dyDescent="0.3">
      <c r="D65" s="21"/>
    </row>
    <row r="66" spans="4:4" x14ac:dyDescent="0.3">
      <c r="D66" s="21"/>
    </row>
    <row r="67" spans="4:4" x14ac:dyDescent="0.3">
      <c r="D67" s="21"/>
    </row>
    <row r="68" spans="4:4" x14ac:dyDescent="0.3">
      <c r="D68" s="21"/>
    </row>
    <row r="69" spans="4:4" x14ac:dyDescent="0.3">
      <c r="D69" s="21"/>
    </row>
    <row r="70" spans="4:4" x14ac:dyDescent="0.3">
      <c r="D70" s="21"/>
    </row>
    <row r="71" spans="4:4" x14ac:dyDescent="0.3">
      <c r="D71" s="21"/>
    </row>
    <row r="72" spans="4:4" x14ac:dyDescent="0.3">
      <c r="D72" s="21"/>
    </row>
    <row r="73" spans="4:4" x14ac:dyDescent="0.3">
      <c r="D73" s="21"/>
    </row>
    <row r="74" spans="4:4" x14ac:dyDescent="0.3">
      <c r="D74" s="21"/>
    </row>
    <row r="75" spans="4:4" x14ac:dyDescent="0.3">
      <c r="D75" s="21"/>
    </row>
    <row r="76" spans="4:4" x14ac:dyDescent="0.3">
      <c r="D76" s="21"/>
    </row>
    <row r="77" spans="4:4" x14ac:dyDescent="0.3">
      <c r="D77" s="21"/>
    </row>
    <row r="78" spans="4:4" x14ac:dyDescent="0.3">
      <c r="D78" s="21"/>
    </row>
    <row r="79" spans="4:4" x14ac:dyDescent="0.3">
      <c r="D79" s="21"/>
    </row>
    <row r="80" spans="4:4" x14ac:dyDescent="0.3">
      <c r="D80" s="21"/>
    </row>
    <row r="81" spans="4:4" x14ac:dyDescent="0.3">
      <c r="D81" s="21"/>
    </row>
    <row r="82" spans="4:4" x14ac:dyDescent="0.3">
      <c r="D82" s="21"/>
    </row>
    <row r="83" spans="4:4" x14ac:dyDescent="0.3">
      <c r="D83" s="21"/>
    </row>
    <row r="84" spans="4:4" x14ac:dyDescent="0.3">
      <c r="D84" s="21"/>
    </row>
    <row r="85" spans="4:4" x14ac:dyDescent="0.3">
      <c r="D85" s="21"/>
    </row>
    <row r="86" spans="4:4" x14ac:dyDescent="0.3">
      <c r="D86" s="21"/>
    </row>
    <row r="87" spans="4:4" x14ac:dyDescent="0.3">
      <c r="D87" s="21"/>
    </row>
    <row r="88" spans="4:4" x14ac:dyDescent="0.3">
      <c r="D88" s="21"/>
    </row>
    <row r="89" spans="4:4" x14ac:dyDescent="0.3">
      <c r="D89" s="21"/>
    </row>
    <row r="90" spans="4:4" x14ac:dyDescent="0.3">
      <c r="D90" s="21"/>
    </row>
    <row r="91" spans="4:4" x14ac:dyDescent="0.3">
      <c r="D91" s="21"/>
    </row>
    <row r="92" spans="4:4" x14ac:dyDescent="0.3">
      <c r="D92" s="21"/>
    </row>
    <row r="93" spans="4:4" x14ac:dyDescent="0.3">
      <c r="D93" s="21"/>
    </row>
    <row r="94" spans="4:4" x14ac:dyDescent="0.3">
      <c r="D94" s="21"/>
    </row>
    <row r="95" spans="4:4" x14ac:dyDescent="0.3">
      <c r="D95" s="21"/>
    </row>
    <row r="96" spans="4:4" x14ac:dyDescent="0.3">
      <c r="D96" s="21"/>
    </row>
    <row r="97" spans="4:4" x14ac:dyDescent="0.3">
      <c r="D97" s="21"/>
    </row>
    <row r="98" spans="4:4" x14ac:dyDescent="0.3">
      <c r="D98" s="21"/>
    </row>
    <row r="99" spans="4:4" x14ac:dyDescent="0.3">
      <c r="D99" s="21"/>
    </row>
    <row r="100" spans="4:4" x14ac:dyDescent="0.3">
      <c r="D100" s="21"/>
    </row>
    <row r="101" spans="4:4" x14ac:dyDescent="0.3">
      <c r="D101" s="21"/>
    </row>
    <row r="102" spans="4:4" x14ac:dyDescent="0.3">
      <c r="D102" s="21"/>
    </row>
    <row r="103" spans="4:4" x14ac:dyDescent="0.3">
      <c r="D103" s="21"/>
    </row>
    <row r="104" spans="4:4" x14ac:dyDescent="0.3">
      <c r="D104" s="21"/>
    </row>
    <row r="105" spans="4:4" x14ac:dyDescent="0.3">
      <c r="D105" s="21"/>
    </row>
    <row r="106" spans="4:4" x14ac:dyDescent="0.3">
      <c r="D106" s="21"/>
    </row>
    <row r="107" spans="4:4" x14ac:dyDescent="0.3">
      <c r="D107" s="21"/>
    </row>
    <row r="108" spans="4:4" x14ac:dyDescent="0.3">
      <c r="D108" s="21"/>
    </row>
    <row r="109" spans="4:4" x14ac:dyDescent="0.3">
      <c r="D109" s="21"/>
    </row>
    <row r="110" spans="4:4" x14ac:dyDescent="0.3">
      <c r="D110" s="21"/>
    </row>
    <row r="111" spans="4:4" x14ac:dyDescent="0.3">
      <c r="D111" s="21"/>
    </row>
    <row r="112" spans="4:4" x14ac:dyDescent="0.3">
      <c r="D112" s="21"/>
    </row>
    <row r="113" spans="4:4" x14ac:dyDescent="0.3">
      <c r="D113" s="21"/>
    </row>
    <row r="114" spans="4:4" x14ac:dyDescent="0.3">
      <c r="D114" s="21"/>
    </row>
    <row r="115" spans="4:4" x14ac:dyDescent="0.3">
      <c r="D115" s="21"/>
    </row>
    <row r="116" spans="4:4" x14ac:dyDescent="0.3">
      <c r="D116" s="21"/>
    </row>
    <row r="117" spans="4:4" x14ac:dyDescent="0.3">
      <c r="D117" s="21"/>
    </row>
    <row r="118" spans="4:4" x14ac:dyDescent="0.3">
      <c r="D118" s="21"/>
    </row>
    <row r="119" spans="4:4" x14ac:dyDescent="0.3">
      <c r="D119" s="21"/>
    </row>
    <row r="120" spans="4:4" x14ac:dyDescent="0.3">
      <c r="D120" s="21"/>
    </row>
    <row r="121" spans="4:4" x14ac:dyDescent="0.3">
      <c r="D121" s="21"/>
    </row>
    <row r="122" spans="4:4" x14ac:dyDescent="0.3">
      <c r="D122" s="21"/>
    </row>
    <row r="123" spans="4:4" x14ac:dyDescent="0.3">
      <c r="D123" s="21"/>
    </row>
    <row r="124" spans="4:4" x14ac:dyDescent="0.3">
      <c r="D124" s="21"/>
    </row>
    <row r="125" spans="4:4" x14ac:dyDescent="0.3">
      <c r="D125" s="21"/>
    </row>
    <row r="126" spans="4:4" x14ac:dyDescent="0.3">
      <c r="D126" s="21"/>
    </row>
    <row r="127" spans="4:4" x14ac:dyDescent="0.3">
      <c r="D127" s="21"/>
    </row>
    <row r="128" spans="4:4" x14ac:dyDescent="0.3">
      <c r="D128" s="21"/>
    </row>
    <row r="129" spans="4:4" x14ac:dyDescent="0.3">
      <c r="D129" s="21"/>
    </row>
    <row r="130" spans="4:4" x14ac:dyDescent="0.3">
      <c r="D130" s="21"/>
    </row>
    <row r="131" spans="4:4" x14ac:dyDescent="0.3">
      <c r="D131" s="21"/>
    </row>
    <row r="132" spans="4:4" x14ac:dyDescent="0.3">
      <c r="D132" s="21"/>
    </row>
    <row r="133" spans="4:4" x14ac:dyDescent="0.3">
      <c r="D133" s="21"/>
    </row>
    <row r="134" spans="4:4" x14ac:dyDescent="0.3">
      <c r="D134" s="21"/>
    </row>
    <row r="135" spans="4:4" x14ac:dyDescent="0.3">
      <c r="D135" s="21"/>
    </row>
    <row r="136" spans="4:4" x14ac:dyDescent="0.3">
      <c r="D136" s="21"/>
    </row>
    <row r="137" spans="4:4" x14ac:dyDescent="0.3">
      <c r="D137" s="21"/>
    </row>
    <row r="138" spans="4:4" x14ac:dyDescent="0.3">
      <c r="D138" s="21"/>
    </row>
    <row r="139" spans="4:4" x14ac:dyDescent="0.3">
      <c r="D139" s="21"/>
    </row>
    <row r="140" spans="4:4" x14ac:dyDescent="0.3">
      <c r="D140" s="21"/>
    </row>
    <row r="141" spans="4:4" x14ac:dyDescent="0.3">
      <c r="D141" s="21"/>
    </row>
    <row r="142" spans="4:4" x14ac:dyDescent="0.3">
      <c r="D142" s="21"/>
    </row>
    <row r="143" spans="4:4" x14ac:dyDescent="0.3">
      <c r="D143" s="21"/>
    </row>
    <row r="144" spans="4:4" x14ac:dyDescent="0.3">
      <c r="D144" s="21"/>
    </row>
    <row r="145" spans="4:4" x14ac:dyDescent="0.3">
      <c r="D145" s="21"/>
    </row>
    <row r="146" spans="4:4" x14ac:dyDescent="0.3">
      <c r="D146" s="21"/>
    </row>
    <row r="147" spans="4:4" x14ac:dyDescent="0.3">
      <c r="D147" s="21"/>
    </row>
    <row r="148" spans="4:4" x14ac:dyDescent="0.3">
      <c r="D148" s="21"/>
    </row>
    <row r="149" spans="4:4" x14ac:dyDescent="0.3">
      <c r="D149" s="21"/>
    </row>
    <row r="150" spans="4:4" x14ac:dyDescent="0.3">
      <c r="D150" s="21"/>
    </row>
    <row r="151" spans="4:4" x14ac:dyDescent="0.3">
      <c r="D151" s="21"/>
    </row>
    <row r="152" spans="4:4" x14ac:dyDescent="0.3">
      <c r="D152" s="21"/>
    </row>
    <row r="153" spans="4:4" x14ac:dyDescent="0.3">
      <c r="D153" s="21"/>
    </row>
    <row r="154" spans="4:4" x14ac:dyDescent="0.3">
      <c r="D154" s="21"/>
    </row>
    <row r="155" spans="4:4" x14ac:dyDescent="0.3">
      <c r="D155" s="21"/>
    </row>
    <row r="156" spans="4:4" x14ac:dyDescent="0.3">
      <c r="D156" s="21"/>
    </row>
    <row r="157" spans="4:4" x14ac:dyDescent="0.3">
      <c r="D157" s="21"/>
    </row>
    <row r="158" spans="4:4" x14ac:dyDescent="0.3">
      <c r="D158" s="21"/>
    </row>
    <row r="159" spans="4:4" x14ac:dyDescent="0.3">
      <c r="D159" s="21"/>
    </row>
    <row r="160" spans="4:4" x14ac:dyDescent="0.3">
      <c r="D160" s="21"/>
    </row>
    <row r="161" spans="4:4" x14ac:dyDescent="0.3">
      <c r="D161" s="21"/>
    </row>
    <row r="162" spans="4:4" x14ac:dyDescent="0.3">
      <c r="D162" s="21"/>
    </row>
    <row r="163" spans="4:4" x14ac:dyDescent="0.3">
      <c r="D163" s="21"/>
    </row>
    <row r="164" spans="4:4" x14ac:dyDescent="0.3">
      <c r="D164" s="21"/>
    </row>
    <row r="165" spans="4:4" x14ac:dyDescent="0.3">
      <c r="D165" s="21"/>
    </row>
    <row r="166" spans="4:4" x14ac:dyDescent="0.3">
      <c r="D166" s="21"/>
    </row>
    <row r="167" spans="4:4" x14ac:dyDescent="0.3">
      <c r="D167" s="21"/>
    </row>
    <row r="168" spans="4:4" x14ac:dyDescent="0.3">
      <c r="D168" s="21"/>
    </row>
    <row r="169" spans="4:4" x14ac:dyDescent="0.3">
      <c r="D169" s="21"/>
    </row>
    <row r="170" spans="4:4" x14ac:dyDescent="0.3">
      <c r="D170" s="21"/>
    </row>
    <row r="171" spans="4:4" x14ac:dyDescent="0.3">
      <c r="D171" s="21"/>
    </row>
    <row r="172" spans="4:4" x14ac:dyDescent="0.3">
      <c r="D172" s="21"/>
    </row>
    <row r="173" spans="4:4" x14ac:dyDescent="0.3">
      <c r="D173" s="21"/>
    </row>
    <row r="174" spans="4:4" x14ac:dyDescent="0.3">
      <c r="D174" s="21"/>
    </row>
    <row r="175" spans="4:4" x14ac:dyDescent="0.3">
      <c r="D175" s="21"/>
    </row>
    <row r="176" spans="4:4" x14ac:dyDescent="0.3">
      <c r="D176" s="21"/>
    </row>
    <row r="177" spans="4:4" x14ac:dyDescent="0.3">
      <c r="D177" s="21"/>
    </row>
    <row r="178" spans="4:4" x14ac:dyDescent="0.3">
      <c r="D178" s="21"/>
    </row>
    <row r="179" spans="4:4" x14ac:dyDescent="0.3">
      <c r="D179" s="21"/>
    </row>
    <row r="180" spans="4:4" x14ac:dyDescent="0.3">
      <c r="D180" s="21"/>
    </row>
    <row r="181" spans="4:4" x14ac:dyDescent="0.3">
      <c r="D181" s="21"/>
    </row>
    <row r="182" spans="4:4" x14ac:dyDescent="0.3">
      <c r="D182" s="21"/>
    </row>
    <row r="183" spans="4:4" x14ac:dyDescent="0.3">
      <c r="D183" s="21"/>
    </row>
    <row r="184" spans="4:4" x14ac:dyDescent="0.3">
      <c r="D184" s="21"/>
    </row>
    <row r="185" spans="4:4" x14ac:dyDescent="0.3">
      <c r="D185" s="21"/>
    </row>
    <row r="186" spans="4:4" x14ac:dyDescent="0.3">
      <c r="D186" s="21"/>
    </row>
    <row r="187" spans="4:4" x14ac:dyDescent="0.3">
      <c r="D187" s="21"/>
    </row>
    <row r="188" spans="4:4" x14ac:dyDescent="0.3">
      <c r="D188" s="21"/>
    </row>
    <row r="189" spans="4:4" x14ac:dyDescent="0.3">
      <c r="D189" s="21"/>
    </row>
    <row r="190" spans="4:4" x14ac:dyDescent="0.3">
      <c r="D190" s="21"/>
    </row>
    <row r="191" spans="4:4" x14ac:dyDescent="0.3">
      <c r="D191" s="21"/>
    </row>
    <row r="192" spans="4:4" x14ac:dyDescent="0.3">
      <c r="D192" s="21"/>
    </row>
    <row r="193" spans="4:4" x14ac:dyDescent="0.3">
      <c r="D193" s="21"/>
    </row>
    <row r="194" spans="4:4" x14ac:dyDescent="0.3">
      <c r="D194" s="21"/>
    </row>
    <row r="195" spans="4:4" x14ac:dyDescent="0.3">
      <c r="D195" s="21"/>
    </row>
    <row r="196" spans="4:4" x14ac:dyDescent="0.3">
      <c r="D196" s="21"/>
    </row>
    <row r="197" spans="4:4" x14ac:dyDescent="0.3">
      <c r="D197" s="21"/>
    </row>
    <row r="198" spans="4:4" x14ac:dyDescent="0.3">
      <c r="D198" s="21"/>
    </row>
    <row r="199" spans="4:4" x14ac:dyDescent="0.3">
      <c r="D199" s="21"/>
    </row>
    <row r="200" spans="4:4" x14ac:dyDescent="0.3">
      <c r="D200" s="21"/>
    </row>
    <row r="201" spans="4:4" x14ac:dyDescent="0.3">
      <c r="D201" s="21"/>
    </row>
    <row r="202" spans="4:4" x14ac:dyDescent="0.3">
      <c r="D202" s="21"/>
    </row>
    <row r="203" spans="4:4" x14ac:dyDescent="0.3">
      <c r="D203" s="21"/>
    </row>
    <row r="204" spans="4:4" x14ac:dyDescent="0.3">
      <c r="D204" s="21"/>
    </row>
    <row r="205" spans="4:4" x14ac:dyDescent="0.3">
      <c r="D205" s="21"/>
    </row>
    <row r="206" spans="4:4" x14ac:dyDescent="0.3">
      <c r="D206" s="21"/>
    </row>
    <row r="207" spans="4:4" x14ac:dyDescent="0.3">
      <c r="D207" s="21"/>
    </row>
    <row r="208" spans="4:4" x14ac:dyDescent="0.3">
      <c r="D208" s="21"/>
    </row>
    <row r="209" spans="4:4" x14ac:dyDescent="0.3">
      <c r="D209" s="21"/>
    </row>
    <row r="210" spans="4:4" x14ac:dyDescent="0.3">
      <c r="D210" s="21"/>
    </row>
    <row r="211" spans="4:4" x14ac:dyDescent="0.3">
      <c r="D211" s="21"/>
    </row>
    <row r="212" spans="4:4" x14ac:dyDescent="0.3">
      <c r="D212" s="21"/>
    </row>
    <row r="213" spans="4:4" x14ac:dyDescent="0.3">
      <c r="D213" s="21"/>
    </row>
    <row r="214" spans="4:4" x14ac:dyDescent="0.3">
      <c r="D214" s="21"/>
    </row>
    <row r="215" spans="4:4" x14ac:dyDescent="0.3">
      <c r="D215" s="21"/>
    </row>
    <row r="216" spans="4:4" x14ac:dyDescent="0.3">
      <c r="D216" s="21"/>
    </row>
    <row r="217" spans="4:4" x14ac:dyDescent="0.3">
      <c r="D217" s="21"/>
    </row>
    <row r="218" spans="4:4" x14ac:dyDescent="0.3">
      <c r="D218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685B-6DA5-4F87-9A31-BD71E97662A7}">
  <dimension ref="A1:F193"/>
  <sheetViews>
    <sheetView workbookViewId="0">
      <selection activeCell="A2" sqref="A2"/>
    </sheetView>
  </sheetViews>
  <sheetFormatPr baseColWidth="10" defaultRowHeight="14.4" x14ac:dyDescent="0.3"/>
  <cols>
    <col min="1" max="1" width="33.6640625" bestFit="1" customWidth="1"/>
    <col min="2" max="2" width="27.6640625" bestFit="1" customWidth="1"/>
    <col min="3" max="3" width="36" customWidth="1"/>
    <col min="4" max="4" width="7.109375" bestFit="1" customWidth="1"/>
    <col min="5" max="5" width="40.6640625" bestFit="1" customWidth="1"/>
    <col min="6" max="6" width="125.6640625" bestFit="1" customWidth="1"/>
  </cols>
  <sheetData>
    <row r="1" spans="1:6" x14ac:dyDescent="0.3">
      <c r="A1" t="s">
        <v>2479</v>
      </c>
      <c r="B1" t="s">
        <v>2571</v>
      </c>
      <c r="C1" t="s">
        <v>2480</v>
      </c>
      <c r="D1" t="s">
        <v>2481</v>
      </c>
      <c r="E1" t="s">
        <v>2482</v>
      </c>
      <c r="F1" t="s">
        <v>2265</v>
      </c>
    </row>
    <row r="2" spans="1:6" x14ac:dyDescent="0.3">
      <c r="A2" s="15" t="s">
        <v>0</v>
      </c>
      <c r="B2" t="s">
        <v>231</v>
      </c>
      <c r="C2" t="s">
        <v>2510</v>
      </c>
      <c r="D2" s="14" t="s">
        <v>2570</v>
      </c>
      <c r="E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21_gramos.html</v>
      </c>
      <c r="F2" s="2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Básico IV"&gt;&lt;a href="canciones/revolver/21_gramos.html"&gt;21 gramos&lt;/a&gt;&lt;/li&gt;</v>
      </c>
    </row>
    <row r="3" spans="1:6" x14ac:dyDescent="0.3">
      <c r="A3" s="16" t="s">
        <v>2112</v>
      </c>
      <c r="B3" t="s">
        <v>231</v>
      </c>
      <c r="C3" t="s">
        <v>2497</v>
      </c>
      <c r="D3" s="14" t="s">
        <v>2570</v>
      </c>
      <c r="E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5_estrellas.html</v>
      </c>
      <c r="F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Capitol"&gt;&lt;a href="canciones/revolver/5_estrellas.html"&gt;5 estrellas&lt;/a&gt;&lt;/li&gt;</v>
      </c>
    </row>
    <row r="4" spans="1:6" x14ac:dyDescent="0.3">
      <c r="A4" s="16" t="s">
        <v>1</v>
      </c>
      <c r="B4" t="s">
        <v>231</v>
      </c>
      <c r="C4" t="s">
        <v>0</v>
      </c>
      <c r="D4" s="14" t="s">
        <v>2570</v>
      </c>
      <c r="E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a_contratiempo.html</v>
      </c>
      <c r="F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href="canciones/revolver/a_contratiempo.html"&gt;A contratiempo&lt;/a&gt;&lt;/li&gt;</v>
      </c>
    </row>
    <row r="5" spans="1:6" x14ac:dyDescent="0.3">
      <c r="A5" s="16" t="s">
        <v>2462</v>
      </c>
      <c r="B5" t="s">
        <v>231</v>
      </c>
      <c r="C5" t="s">
        <v>2462</v>
      </c>
      <c r="D5" s="14" t="s">
        <v>2570</v>
      </c>
      <c r="E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adictos_a_la_euforia.html</v>
      </c>
      <c r="F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href="canciones/revolver/adictos_a_la_euforia.html"&gt;Adictos a la euforia&lt;/a&gt;&lt;/li&gt;</v>
      </c>
    </row>
    <row r="6" spans="1:6" x14ac:dyDescent="0.3">
      <c r="A6" s="16" t="s">
        <v>2465</v>
      </c>
      <c r="B6" t="s">
        <v>231</v>
      </c>
      <c r="C6" t="s">
        <v>2462</v>
      </c>
      <c r="D6" s="14" t="s">
        <v>2570</v>
      </c>
      <c r="E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al_infierno_sin_papeles.html</v>
      </c>
      <c r="F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href="canciones/revolver/al_infierno_sin_papeles.html"&gt;Al infierno sin papeles&lt;/a&gt;&lt;/li&gt;</v>
      </c>
    </row>
    <row r="7" spans="1:6" x14ac:dyDescent="0.3">
      <c r="A7" s="16" t="s">
        <v>2</v>
      </c>
      <c r="B7" t="s">
        <v>231</v>
      </c>
      <c r="C7" t="s">
        <v>2495</v>
      </c>
      <c r="D7" s="14" t="s">
        <v>2570</v>
      </c>
      <c r="E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angeles_de_alas_sucias.html</v>
      </c>
      <c r="F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href="canciones/revolver/angeles_de_alas_sucias.html"&gt;Ángeles de alas sucias&lt;/a&gt;&lt;/li&gt;</v>
      </c>
    </row>
    <row r="8" spans="1:6" x14ac:dyDescent="0.3">
      <c r="A8" s="10" t="s">
        <v>2630</v>
      </c>
      <c r="B8" t="s">
        <v>231</v>
      </c>
      <c r="C8" t="s">
        <v>2625</v>
      </c>
      <c r="D8" s="14"/>
      <c r="E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aquellos_dias.html</v>
      </c>
      <c r="F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href="canciones/revolver/aquellos_dias.html"&gt;Aquellos días&lt;/a&gt;&lt;/li&gt;</v>
      </c>
    </row>
    <row r="9" spans="1:6" x14ac:dyDescent="0.3">
      <c r="A9" s="16" t="s">
        <v>3</v>
      </c>
      <c r="B9" t="s">
        <v>231</v>
      </c>
      <c r="C9" t="s">
        <v>2555</v>
      </c>
      <c r="D9" s="14" t="s">
        <v>2570</v>
      </c>
      <c r="E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asustando_al_huracan.html</v>
      </c>
      <c r="F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Básico 3, Que veinte años no es nada"&gt;&lt;a href="canciones/revolver/asustando_al_huracan.html"&gt;Asustando al huracán&lt;/a&gt;&lt;/li&gt;</v>
      </c>
    </row>
    <row r="10" spans="1:6" x14ac:dyDescent="0.3">
      <c r="A10" s="16" t="s">
        <v>4</v>
      </c>
      <c r="B10" t="s">
        <v>231</v>
      </c>
      <c r="C10" t="s">
        <v>2503</v>
      </c>
      <c r="D10" s="14" t="s">
        <v>2570</v>
      </c>
      <c r="E1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ay_amor.html</v>
      </c>
      <c r="F1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Básico 3"&gt;&lt;a href="canciones/revolver/ay_amor.html"&gt;Ay, amor&lt;/a&gt;&lt;/li&gt;</v>
      </c>
    </row>
    <row r="11" spans="1:6" x14ac:dyDescent="0.3">
      <c r="A11" s="10" t="s">
        <v>2562</v>
      </c>
      <c r="B11" t="s">
        <v>2572</v>
      </c>
      <c r="C11" t="s">
        <v>2561</v>
      </c>
      <c r="D11" s="14"/>
      <c r="E1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azul.html</v>
      </c>
      <c r="F1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Elefantes" data-album="Playlist"&gt;&lt;a href="canciones/revolver/azul.html"&gt;Azul&lt;/a&gt;&lt;/li&gt;</v>
      </c>
    </row>
    <row r="12" spans="1:6" x14ac:dyDescent="0.3">
      <c r="A12" s="16" t="s">
        <v>5</v>
      </c>
      <c r="B12" t="s">
        <v>231</v>
      </c>
      <c r="C12" t="s">
        <v>5</v>
      </c>
      <c r="D12" s="14" t="s">
        <v>2570</v>
      </c>
      <c r="E1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babilonia.html</v>
      </c>
      <c r="F1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href="canciones/revolver/babilonia.html"&gt;Babilonia&lt;/a&gt;&lt;/li&gt;</v>
      </c>
    </row>
    <row r="13" spans="1:6" x14ac:dyDescent="0.3">
      <c r="A13" s="16" t="s">
        <v>6</v>
      </c>
      <c r="B13" t="s">
        <v>231</v>
      </c>
      <c r="C13" t="s">
        <v>12</v>
      </c>
      <c r="D13" s="14" t="s">
        <v>2570</v>
      </c>
      <c r="E1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bailando_en_la_frontera.html</v>
      </c>
      <c r="F1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Mayor"&gt;&lt;a href="canciones/revolver/bailando_en_la_frontera.html"&gt;Bailando en la frontera&lt;/a&gt;&lt;/li&gt;</v>
      </c>
    </row>
    <row r="14" spans="1:6" x14ac:dyDescent="0.3">
      <c r="A14" s="16" t="s">
        <v>7</v>
      </c>
      <c r="B14" t="s">
        <v>231</v>
      </c>
      <c r="C14" t="s">
        <v>2490</v>
      </c>
      <c r="D14" s="14" t="s">
        <v>2570</v>
      </c>
      <c r="E1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balas_perdidas.html</v>
      </c>
      <c r="F1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data-album="Sur"&gt;&lt;a href="canciones/revolver/balas_perdidas.html"&gt;Balas perdidas&lt;/a&gt;&lt;/li&gt;</v>
      </c>
    </row>
    <row r="15" spans="1:6" x14ac:dyDescent="0.3">
      <c r="A15" s="16" t="s">
        <v>2467</v>
      </c>
      <c r="B15" t="s">
        <v>231</v>
      </c>
      <c r="C15" t="s">
        <v>2462</v>
      </c>
      <c r="D15" s="14" t="s">
        <v>2570</v>
      </c>
      <c r="E1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beguine.html</v>
      </c>
      <c r="F1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href="canciones/revolver/beguine.html"&gt;Beguine&lt;/a&gt;&lt;/li&gt;</v>
      </c>
    </row>
    <row r="16" spans="1:6" x14ac:dyDescent="0.3">
      <c r="A16" s="16" t="s">
        <v>8</v>
      </c>
      <c r="B16" t="s">
        <v>231</v>
      </c>
      <c r="C16" t="s">
        <v>2500</v>
      </c>
      <c r="D16" s="14" t="s">
        <v>2570</v>
      </c>
      <c r="E1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besare_el_suelo.html</v>
      </c>
      <c r="F1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2"&gt;&lt;a href="canciones/revolver/besare_el_suelo.html"&gt;Besaré el suelo&lt;/a&gt;&lt;/li&gt;</v>
      </c>
    </row>
    <row r="17" spans="1:6" x14ac:dyDescent="0.3">
      <c r="A17" s="16" t="s">
        <v>9</v>
      </c>
      <c r="B17" t="s">
        <v>231</v>
      </c>
      <c r="C17" t="s">
        <v>2495</v>
      </c>
      <c r="D17" s="14" t="s">
        <v>2570</v>
      </c>
      <c r="E1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besos_de_contrabando.html</v>
      </c>
      <c r="F1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href="canciones/revolver/besos_de_contrabando.html"&gt;Besos de contrabando&lt;/a&gt;&lt;/li&gt;</v>
      </c>
    </row>
    <row r="18" spans="1:6" x14ac:dyDescent="0.3">
      <c r="A18" s="16" t="s">
        <v>10</v>
      </c>
      <c r="B18" t="s">
        <v>231</v>
      </c>
      <c r="C18" t="s">
        <v>2508</v>
      </c>
      <c r="D18" s="14" t="s">
        <v>2570</v>
      </c>
      <c r="E1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blackjack.html</v>
      </c>
      <c r="F1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data-album="Capitol, Básico IV"&gt;&lt;a href="canciones/revolver/blackjack.html"&gt;BlackJack&lt;/a&gt;&lt;/li&gt;</v>
      </c>
    </row>
    <row r="19" spans="1:6" x14ac:dyDescent="0.3">
      <c r="A19" s="16" t="s">
        <v>11</v>
      </c>
      <c r="B19" t="s">
        <v>231</v>
      </c>
      <c r="C19" t="s">
        <v>2494</v>
      </c>
      <c r="D19" s="14" t="s">
        <v>2570</v>
      </c>
      <c r="E1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cada_dia.html</v>
      </c>
      <c r="F1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href="canciones/revolver/cada_dia.html"&gt;Cada día&lt;/a&gt;&lt;/li&gt;</v>
      </c>
    </row>
    <row r="20" spans="1:6" x14ac:dyDescent="0.3">
      <c r="A20" s="16" t="s">
        <v>12</v>
      </c>
      <c r="B20" t="s">
        <v>231</v>
      </c>
      <c r="C20" t="s">
        <v>2518</v>
      </c>
      <c r="D20" s="14" t="s">
        <v>2570</v>
      </c>
      <c r="E2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calle_mayor.html</v>
      </c>
      <c r="F2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Básico 2, Grandes éxitos"&gt;&lt;a href="canciones/revolver/calle_mayor.html"&gt;Calle Mayor&lt;/a&gt;&lt;/li&gt;</v>
      </c>
    </row>
    <row r="21" spans="1:6" x14ac:dyDescent="0.3">
      <c r="A21" s="16" t="s">
        <v>2468</v>
      </c>
      <c r="B21" t="s">
        <v>231</v>
      </c>
      <c r="C21" t="s">
        <v>2462</v>
      </c>
      <c r="D21" s="14" t="s">
        <v>2570</v>
      </c>
      <c r="E2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calor_y_tiempo.html</v>
      </c>
      <c r="F2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href="canciones/revolver/calor_y_tiempo.html"&gt;Calor y tiempo&lt;/a&gt;&lt;/li&gt;</v>
      </c>
    </row>
    <row r="22" spans="1:6" x14ac:dyDescent="0.3">
      <c r="A22" s="15" t="s">
        <v>1486</v>
      </c>
      <c r="B22" t="s">
        <v>2574</v>
      </c>
      <c r="C22" t="s">
        <v>2417</v>
      </c>
      <c r="D22" s="14" t="s">
        <v>2570</v>
      </c>
      <c r="E2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camisa_de_once_varas_(seguridad_social).html</v>
      </c>
      <c r="F2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Seguridad Social" data-album="Otros"&gt;&lt;a href="canciones/revolver/camisa_de_once_varas_(seguridad_social).html"&gt;Camisa de once varas (Seguridad Social)&lt;/a&gt;&lt;/li&gt;</v>
      </c>
    </row>
    <row r="23" spans="1:6" x14ac:dyDescent="0.3">
      <c r="A23" s="16" t="s">
        <v>13</v>
      </c>
      <c r="B23" t="s">
        <v>231</v>
      </c>
      <c r="C23" t="s">
        <v>2508</v>
      </c>
      <c r="D23" s="14" t="s">
        <v>2570</v>
      </c>
      <c r="E2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campanilla.html</v>
      </c>
      <c r="F2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data-album="Capitol, Básico IV"&gt;&lt;a href="canciones/revolver/campanilla.html"&gt;Campanilla&lt;/a&gt;&lt;/li&gt;</v>
      </c>
    </row>
    <row r="24" spans="1:6" x14ac:dyDescent="0.3">
      <c r="A24" s="16" t="s">
        <v>14</v>
      </c>
      <c r="B24" t="s">
        <v>231</v>
      </c>
      <c r="C24" t="s">
        <v>0</v>
      </c>
      <c r="D24" s="14" t="s">
        <v>2570</v>
      </c>
      <c r="E2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carreteras_secundarias.html</v>
      </c>
      <c r="F2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href="canciones/revolver/carreteras_secundarias.html"&gt;Carreteras secundarias&lt;/a&gt;&lt;/li&gt;</v>
      </c>
    </row>
    <row r="25" spans="1:6" x14ac:dyDescent="0.3">
      <c r="A25" s="16" t="s">
        <v>2113</v>
      </c>
      <c r="B25" t="s">
        <v>231</v>
      </c>
      <c r="C25" t="s">
        <v>2495</v>
      </c>
      <c r="D25" s="14" t="s">
        <v>2570</v>
      </c>
      <c r="E2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cerrare_los_ojos.html</v>
      </c>
      <c r="F2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href="canciones/revolver/cerrare_los_ojos.html"&gt;Cerraré los ojos&lt;/a&gt;&lt;/li&gt;</v>
      </c>
    </row>
    <row r="26" spans="1:6" x14ac:dyDescent="0.3">
      <c r="A26" s="16" t="s">
        <v>15</v>
      </c>
      <c r="B26" t="s">
        <v>231</v>
      </c>
      <c r="C26" t="s">
        <v>2548</v>
      </c>
      <c r="D26" s="14" t="s">
        <v>2570</v>
      </c>
      <c r="E2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clarisa.html</v>
      </c>
      <c r="F2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Que veinte años no es nada"&gt;&lt;a href="canciones/revolver/clarisa.html"&gt;Clarisa&lt;/a&gt;&lt;/li&gt;</v>
      </c>
    </row>
    <row r="27" spans="1:6" x14ac:dyDescent="0.3">
      <c r="A27" s="10" t="s">
        <v>244</v>
      </c>
      <c r="B27" t="s">
        <v>2573</v>
      </c>
      <c r="C27" t="s">
        <v>2561</v>
      </c>
      <c r="D27" s="14" t="s">
        <v>2570</v>
      </c>
      <c r="E2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como_hablar.html</v>
      </c>
      <c r="F2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Amaral" data-album="Playlist"&gt;&lt;a href="canciones/revolver/como_hablar.html"&gt;Cómo hablar&lt;/a&gt;&lt;/li&gt;</v>
      </c>
    </row>
    <row r="28" spans="1:6" x14ac:dyDescent="0.3">
      <c r="A28" s="10" t="s">
        <v>2629</v>
      </c>
      <c r="B28" t="s">
        <v>231</v>
      </c>
      <c r="C28" t="s">
        <v>2625</v>
      </c>
      <c r="D28" s="14"/>
      <c r="E2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como_una_margarita_entre_adoquines.html</v>
      </c>
      <c r="F2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href="canciones/revolver/como_una_margarita_entre_adoquines.html"&gt;Como una margarita entre adoquines&lt;/a&gt;&lt;/li&gt;</v>
      </c>
    </row>
    <row r="29" spans="1:6" x14ac:dyDescent="0.3">
      <c r="A29" s="16" t="s">
        <v>16</v>
      </c>
      <c r="B29" t="s">
        <v>231</v>
      </c>
      <c r="C29" t="s">
        <v>2513</v>
      </c>
      <c r="D29" s="14" t="s">
        <v>2570</v>
      </c>
      <c r="E2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como_unico_equipaje.html</v>
      </c>
      <c r="F2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data-album="Revólver, Básico, Rarezas"&gt;&lt;a href="canciones/revolver/como_unico_equipaje.html"&gt;Como único equipaje&lt;/a&gt;&lt;/li&gt;</v>
      </c>
    </row>
    <row r="30" spans="1:6" x14ac:dyDescent="0.3">
      <c r="A30" s="16" t="s">
        <v>17</v>
      </c>
      <c r="B30" t="s">
        <v>231</v>
      </c>
      <c r="C30" t="s">
        <v>0</v>
      </c>
      <c r="D30" s="14" t="s">
        <v>2570</v>
      </c>
      <c r="E3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cuando_todo_va_bien.html</v>
      </c>
      <c r="F3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href="canciones/revolver/cuando_todo_va_bien.html"&gt;Cuando todo va bien&lt;/a&gt;&lt;/li&gt;</v>
      </c>
    </row>
    <row r="31" spans="1:6" x14ac:dyDescent="0.3">
      <c r="A31" s="16" t="s">
        <v>2111</v>
      </c>
      <c r="B31" t="s">
        <v>231</v>
      </c>
      <c r="C31" t="s">
        <v>70</v>
      </c>
      <c r="D31" s="14" t="s">
        <v>2570</v>
      </c>
      <c r="E3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dame.html</v>
      </c>
      <c r="F3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href="canciones/revolver/dame.html"&gt;Dame&lt;/a&gt;&lt;/li&gt;</v>
      </c>
    </row>
    <row r="32" spans="1:6" x14ac:dyDescent="0.3">
      <c r="A32" s="16" t="s">
        <v>18</v>
      </c>
      <c r="B32" t="s">
        <v>231</v>
      </c>
      <c r="C32" t="s">
        <v>2520</v>
      </c>
      <c r="D32" s="14" t="s">
        <v>2570</v>
      </c>
      <c r="E3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dentro_de_ti.html</v>
      </c>
      <c r="F3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Básico, Básico IV, Grandes éxitos"&gt;&lt;a href="canciones/revolver/dentro_de_ti.html"&gt;Dentro de ti&lt;/a&gt;&lt;/li&gt;</v>
      </c>
    </row>
    <row r="33" spans="1:6" x14ac:dyDescent="0.3">
      <c r="A33" s="16" t="s">
        <v>2114</v>
      </c>
      <c r="B33" t="s">
        <v>231</v>
      </c>
      <c r="C33" t="s">
        <v>2492</v>
      </c>
      <c r="D33" s="14" t="s">
        <v>2570</v>
      </c>
      <c r="E3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deprimencia.html</v>
      </c>
      <c r="F3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A.M."&gt;&lt;a href="canciones/revolver/deprimencia.html"&gt;Deprimencia&lt;/a&gt;&lt;/li&gt;</v>
      </c>
    </row>
    <row r="34" spans="1:6" x14ac:dyDescent="0.3">
      <c r="A34" s="17" t="s">
        <v>2463</v>
      </c>
      <c r="B34" t="s">
        <v>231</v>
      </c>
      <c r="C34" t="s">
        <v>2462</v>
      </c>
      <c r="D34" s="14" t="s">
        <v>2570</v>
      </c>
      <c r="E3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desde_que_no_estas_aqui.html</v>
      </c>
      <c r="F3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href="canciones/revolver/desde_que_no_estas_aqui.html"&gt;Desde que no estás aquí&lt;/a&gt;&lt;/li&gt;</v>
      </c>
    </row>
    <row r="35" spans="1:6" x14ac:dyDescent="0.3">
      <c r="A35" s="16" t="s">
        <v>19</v>
      </c>
      <c r="B35" t="s">
        <v>231</v>
      </c>
      <c r="C35" t="s">
        <v>2514</v>
      </c>
      <c r="D35" s="14" t="s">
        <v>2570</v>
      </c>
      <c r="E3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dias_de_vino_y_rosas.html</v>
      </c>
      <c r="F3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Rarezas"&gt;&lt;a href="canciones/revolver/dias_de_vino_y_rosas.html"&gt;Días de vino y rosas&lt;/a&gt;&lt;/li&gt;</v>
      </c>
    </row>
    <row r="36" spans="1:6" x14ac:dyDescent="0.3">
      <c r="A36" s="16" t="s">
        <v>20</v>
      </c>
      <c r="B36" t="s">
        <v>231</v>
      </c>
      <c r="C36" t="s">
        <v>2545</v>
      </c>
      <c r="D36" s="14" t="s">
        <v>2570</v>
      </c>
      <c r="E3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dime_como_lo_hago_yo.html</v>
      </c>
      <c r="F3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Que veinte años no es nada"&gt;&lt;a href="canciones/revolver/dime_como_lo_hago_yo.html"&gt;Dime cómo lo hago yo&lt;/a&gt;&lt;/li&gt;</v>
      </c>
    </row>
    <row r="37" spans="1:6" x14ac:dyDescent="0.3">
      <c r="A37" s="16" t="s">
        <v>21</v>
      </c>
      <c r="B37" t="s">
        <v>231</v>
      </c>
      <c r="C37" t="s">
        <v>2490</v>
      </c>
      <c r="D37" s="14" t="s">
        <v>2570</v>
      </c>
      <c r="E3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dime_por_que.html</v>
      </c>
      <c r="F3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data-album="Sur"&gt;&lt;a href="canciones/revolver/dime_por_que.html"&gt;Dime por qué&lt;/a&gt;&lt;/li&gt;</v>
      </c>
    </row>
    <row r="38" spans="1:6" x14ac:dyDescent="0.3">
      <c r="A38" s="16" t="s">
        <v>22</v>
      </c>
      <c r="B38" t="s">
        <v>231</v>
      </c>
      <c r="C38" t="s">
        <v>2543</v>
      </c>
      <c r="D38" s="14" t="s">
        <v>2570</v>
      </c>
      <c r="E3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donde_esta_el_final.html</v>
      </c>
      <c r="F3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Enjoy, Que veinte años no es nada"&gt;&lt;a href="canciones/revolver/donde_esta_el_final.html"&gt;Dónde está el final&lt;/a&gt;&lt;/li&gt;</v>
      </c>
    </row>
    <row r="39" spans="1:6" x14ac:dyDescent="0.3">
      <c r="A39" s="10" t="s">
        <v>2565</v>
      </c>
      <c r="B39" t="s">
        <v>2575</v>
      </c>
      <c r="C39" t="s">
        <v>2561</v>
      </c>
      <c r="D39" s="14"/>
      <c r="E3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donde_estas.html</v>
      </c>
      <c r="F3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Jaime Urrutia" data-album="Playlist"&gt;&lt;a href="canciones/revolver/donde_estas.html"&gt;Dónde estás&lt;/a&gt;&lt;/li&gt;</v>
      </c>
    </row>
    <row r="40" spans="1:6" x14ac:dyDescent="0.3">
      <c r="A40" s="16" t="s">
        <v>23</v>
      </c>
      <c r="B40" t="s">
        <v>231</v>
      </c>
      <c r="C40" t="s">
        <v>2525</v>
      </c>
      <c r="D40" s="14" t="s">
        <v>2570</v>
      </c>
      <c r="E4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dos_por_dos.html</v>
      </c>
      <c r="F4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data-album="Revólver, Básico, Enjoy, Rarezas, Que veinte años no es nada"&gt;&lt;a href="canciones/revolver/dos_por_dos.html"&gt;Dos por dos&lt;/a&gt;&lt;/li&gt;</v>
      </c>
    </row>
    <row r="41" spans="1:6" x14ac:dyDescent="0.3">
      <c r="A41" s="16" t="s">
        <v>24</v>
      </c>
      <c r="B41" t="s">
        <v>231</v>
      </c>
      <c r="C41" t="s">
        <v>2539</v>
      </c>
      <c r="D41" s="14" t="s">
        <v>2570</v>
      </c>
      <c r="E4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duro_de_llevar.html</v>
      </c>
      <c r="F4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Básico 3, Que veinte años no es nada"&gt;&lt;a href="canciones/revolver/duro_de_llevar.html"&gt;Duro de llevar&lt;/a&gt;&lt;/li&gt;</v>
      </c>
    </row>
    <row r="42" spans="1:6" x14ac:dyDescent="0.3">
      <c r="A42" s="16" t="s">
        <v>25</v>
      </c>
      <c r="B42" t="s">
        <v>231</v>
      </c>
      <c r="C42" t="s">
        <v>2501</v>
      </c>
      <c r="D42" s="14" t="s">
        <v>2570</v>
      </c>
      <c r="E4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el_aire_sabe_a_veneno.html</v>
      </c>
      <c r="F4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Sur, Básico 2"&gt;&lt;a href="canciones/revolver/el_aire_sabe_a_veneno.html"&gt;El aire sabe a veneno&lt;/a&gt;&lt;/li&gt;</v>
      </c>
    </row>
    <row r="43" spans="1:6" x14ac:dyDescent="0.3">
      <c r="A43" s="17" t="s">
        <v>2461</v>
      </c>
      <c r="B43" t="s">
        <v>231</v>
      </c>
      <c r="C43" t="s">
        <v>2462</v>
      </c>
      <c r="D43" s="14" t="s">
        <v>2570</v>
      </c>
      <c r="E4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el_anillo_de_boda.html</v>
      </c>
      <c r="F4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href="canciones/revolver/el_anillo_de_boda.html"&gt;El anillo de boda&lt;/a&gt;&lt;/li&gt;</v>
      </c>
    </row>
    <row r="44" spans="1:6" x14ac:dyDescent="0.3">
      <c r="A44" s="16" t="s">
        <v>26</v>
      </c>
      <c r="B44" t="s">
        <v>231</v>
      </c>
      <c r="C44" t="s">
        <v>70</v>
      </c>
      <c r="D44" s="14" t="s">
        <v>2570</v>
      </c>
      <c r="E4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el_boulevard_de_los_idiotas.html</v>
      </c>
      <c r="F4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href="canciones/revolver/el_boulevard_de_los_idiotas.html"&gt;El boulevard de los idiotas&lt;/a&gt;&lt;/li&gt;</v>
      </c>
    </row>
    <row r="45" spans="1:6" x14ac:dyDescent="0.3">
      <c r="A45" s="10" t="s">
        <v>2493</v>
      </c>
      <c r="B45" t="s">
        <v>231</v>
      </c>
      <c r="C45" t="s">
        <v>70</v>
      </c>
      <c r="D45" s="14"/>
      <c r="E4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el_camino.html</v>
      </c>
      <c r="F4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href="canciones/revolver/el_camino.html"&gt;El camino&lt;/a&gt;&lt;/li&gt;</v>
      </c>
    </row>
    <row r="46" spans="1:6" x14ac:dyDescent="0.3">
      <c r="A46" s="16" t="s">
        <v>27</v>
      </c>
      <c r="B46" t="s">
        <v>231</v>
      </c>
      <c r="C46" t="s">
        <v>0</v>
      </c>
      <c r="D46" s="14" t="s">
        <v>2570</v>
      </c>
      <c r="E4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el_canal.html</v>
      </c>
      <c r="F4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href="canciones/revolver/el_canal.html"&gt;El canal&lt;/a&gt;&lt;/li&gt;</v>
      </c>
    </row>
    <row r="47" spans="1:6" x14ac:dyDescent="0.3">
      <c r="A47" s="16" t="s">
        <v>28</v>
      </c>
      <c r="B47" t="s">
        <v>231</v>
      </c>
      <c r="C47" t="s">
        <v>2528</v>
      </c>
      <c r="D47" s="14" t="s">
        <v>2570</v>
      </c>
      <c r="E4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el_dorado.html</v>
      </c>
      <c r="F4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2, Enjoy, Rarezas, Grandes éxitos, Que veinte años no es nada"&gt;&lt;a href="canciones/revolver/el_dorado.html"&gt;El Dorado&lt;/a&gt;&lt;/li&gt;</v>
      </c>
    </row>
    <row r="48" spans="1:6" x14ac:dyDescent="0.3">
      <c r="A48" s="10" t="s">
        <v>2566</v>
      </c>
      <c r="B48" t="s">
        <v>2576</v>
      </c>
      <c r="C48" t="s">
        <v>2561</v>
      </c>
      <c r="D48" s="14"/>
      <c r="E4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el_equilibrio_es_imposible.html</v>
      </c>
      <c r="F4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Los Piratas" data-album="Playlist"&gt;&lt;a href="canciones/revolver/el_equilibrio_es_imposible.html"&gt;El equilibrio es imposible&lt;/a&gt;&lt;/li&gt;</v>
      </c>
    </row>
    <row r="49" spans="1:6" x14ac:dyDescent="0.3">
      <c r="A49" s="10" t="s">
        <v>2485</v>
      </c>
      <c r="B49" t="s">
        <v>231</v>
      </c>
      <c r="C49" t="s">
        <v>231</v>
      </c>
      <c r="D49" s="14"/>
      <c r="E4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el_es_el_rey.html</v>
      </c>
      <c r="F4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href="canciones/revolver/el_es_el_rey.html"&gt;Él es el rey&lt;/a&gt;&lt;/li&gt;</v>
      </c>
    </row>
    <row r="50" spans="1:6" x14ac:dyDescent="0.3">
      <c r="A50" s="16" t="s">
        <v>29</v>
      </c>
      <c r="B50" t="s">
        <v>231</v>
      </c>
      <c r="C50" t="s">
        <v>2532</v>
      </c>
      <c r="D50" s="14" t="s">
        <v>2570</v>
      </c>
      <c r="E5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el_mismo_hombre.html</v>
      </c>
      <c r="F5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Básico 2, Enjoy, Que veinte años no es nada"&gt;&lt;a href="canciones/revolver/el_mismo_hombre.html"&gt;El mismo hombre&lt;/a&gt;&lt;/li&gt;</v>
      </c>
    </row>
    <row r="51" spans="1:6" x14ac:dyDescent="0.3">
      <c r="A51" s="17" t="s">
        <v>2466</v>
      </c>
      <c r="B51" t="s">
        <v>231</v>
      </c>
      <c r="C51" t="s">
        <v>2462</v>
      </c>
      <c r="D51" s="14" t="s">
        <v>2570</v>
      </c>
      <c r="E5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el_otoño_esta_al_caer.html</v>
      </c>
      <c r="F5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href="canciones/revolver/el_otoño_esta_al_caer.html"&gt;El otoño está al caer&lt;/a&gt;&lt;/li&gt;</v>
      </c>
    </row>
    <row r="52" spans="1:6" x14ac:dyDescent="0.3">
      <c r="A52" s="16" t="s">
        <v>30</v>
      </c>
      <c r="B52" t="s">
        <v>231</v>
      </c>
      <c r="C52" t="s">
        <v>2536</v>
      </c>
      <c r="D52" s="14" t="s">
        <v>2570</v>
      </c>
      <c r="E5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el_peligro.html</v>
      </c>
      <c r="F5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2, Grandes éxitos, Que veinte años no es nada"&gt;&lt;a href="canciones/revolver/el_peligro.html"&gt;El peligro&lt;/a&gt;&lt;/li&gt;</v>
      </c>
    </row>
    <row r="53" spans="1:6" x14ac:dyDescent="0.3">
      <c r="A53" s="16" t="s">
        <v>31</v>
      </c>
      <c r="B53" t="s">
        <v>231</v>
      </c>
      <c r="C53" t="s">
        <v>2524</v>
      </c>
      <c r="D53" s="14" t="s">
        <v>2570</v>
      </c>
      <c r="E5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el_roce_de_tu_piel.html</v>
      </c>
      <c r="F5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data-album="Básico, Enjoy, Básico IV, Grandes éxitos, Que veinte años no es nada"&gt;&lt;a href="canciones/revolver/el_roce_de_tu_piel.html"&gt;El roce de tu piel&lt;/a&gt;&lt;/li&gt;</v>
      </c>
    </row>
    <row r="54" spans="1:6" x14ac:dyDescent="0.3">
      <c r="A54" s="10" t="s">
        <v>2567</v>
      </c>
      <c r="B54" t="s">
        <v>2577</v>
      </c>
      <c r="C54" t="s">
        <v>2561</v>
      </c>
      <c r="D54" s="14"/>
      <c r="E5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el_sol_no_regresa.html</v>
      </c>
      <c r="F5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La Quinta Estación" data-album="Playlist"&gt;&lt;a href="canciones/revolver/el_sol_no_regresa.html"&gt;El sol no regresa&lt;/a&gt;&lt;/li&gt;</v>
      </c>
    </row>
    <row r="55" spans="1:6" x14ac:dyDescent="0.3">
      <c r="A55" s="10" t="s">
        <v>2635</v>
      </c>
      <c r="B55" t="s">
        <v>231</v>
      </c>
      <c r="C55" t="s">
        <v>2625</v>
      </c>
      <c r="D55" s="14"/>
      <c r="E5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el_ultimo_bucanero_de_san_blas.html</v>
      </c>
      <c r="F5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href="canciones/revolver/el_ultimo_bucanero_de_san_blas.html"&gt;El último bucanero de San Blas&lt;/a&gt;&lt;/li&gt;</v>
      </c>
    </row>
    <row r="56" spans="1:6" x14ac:dyDescent="0.3">
      <c r="A56" s="16" t="s">
        <v>32</v>
      </c>
      <c r="B56" t="s">
        <v>231</v>
      </c>
      <c r="C56" t="s">
        <v>2500</v>
      </c>
      <c r="D56" s="14" t="s">
        <v>2570</v>
      </c>
      <c r="E5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el_unico_espectador.html</v>
      </c>
      <c r="F5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2"&gt;&lt;a href="canciones/revolver/el_unico_espectador.html"&gt;El único espectador&lt;/a&gt;&lt;/li&gt;</v>
      </c>
    </row>
    <row r="57" spans="1:6" x14ac:dyDescent="0.3">
      <c r="A57" s="16" t="s">
        <v>33</v>
      </c>
      <c r="B57" t="s">
        <v>231</v>
      </c>
      <c r="C57" t="s">
        <v>2500</v>
      </c>
      <c r="D57" s="14" t="s">
        <v>2570</v>
      </c>
      <c r="E5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ella_es_y_sera_todo_para_mi.html</v>
      </c>
      <c r="F5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2"&gt;&lt;a href="canciones/revolver/ella_es_y_sera_todo_para_mi.html"&gt;Ella es y será todo para mí&lt;/a&gt;&lt;/li&gt;</v>
      </c>
    </row>
    <row r="58" spans="1:6" x14ac:dyDescent="0.3">
      <c r="A58" s="16" t="s">
        <v>34</v>
      </c>
      <c r="B58" t="s">
        <v>231</v>
      </c>
      <c r="C58" t="s">
        <v>5</v>
      </c>
      <c r="D58" s="14" t="s">
        <v>2570</v>
      </c>
      <c r="E5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en_blanco_y_negro.html</v>
      </c>
      <c r="F5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href="canciones/revolver/en_blanco_y_negro.html"&gt;En blanco y negro&lt;/a&gt;&lt;/li&gt;</v>
      </c>
    </row>
    <row r="59" spans="1:6" x14ac:dyDescent="0.3">
      <c r="A59" s="16" t="s">
        <v>35</v>
      </c>
      <c r="B59" t="s">
        <v>231</v>
      </c>
      <c r="C59" t="s">
        <v>2492</v>
      </c>
      <c r="D59" s="14" t="s">
        <v>2570</v>
      </c>
      <c r="E5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en_un_mundo_de_dos.html</v>
      </c>
      <c r="F5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A.M."&gt;&lt;a href="canciones/revolver/en_un_mundo_de_dos.html"&gt;En un mundo de dos&lt;/a&gt;&lt;/li&gt;</v>
      </c>
    </row>
    <row r="60" spans="1:6" x14ac:dyDescent="0.3">
      <c r="A60" s="16" t="s">
        <v>36</v>
      </c>
      <c r="B60" t="s">
        <v>231</v>
      </c>
      <c r="C60" t="s">
        <v>2511</v>
      </c>
      <c r="D60" s="14" t="s">
        <v>2570</v>
      </c>
      <c r="E6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entre_las_nubes.html</v>
      </c>
      <c r="F6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data-album="Babilonia, Básico IV"&gt;&lt;a href="canciones/revolver/entre_las_nubes.html"&gt;Entre las nubes&lt;/a&gt;&lt;/li&gt;</v>
      </c>
    </row>
    <row r="61" spans="1:6" x14ac:dyDescent="0.3">
      <c r="A61" s="16" t="s">
        <v>37</v>
      </c>
      <c r="B61" t="s">
        <v>231</v>
      </c>
      <c r="C61" t="s">
        <v>2531</v>
      </c>
      <c r="D61" s="14" t="s">
        <v>2570</v>
      </c>
      <c r="E6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es_lo_que_es_hay_lo_que_hay.html</v>
      </c>
      <c r="F6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Enjoy, Rarezas, Que veinte años no es nada"&gt;&lt;a href="canciones/revolver/es_lo_que_es_hay_lo_que_hay.html"&gt;Es lo que es, hay lo que hay&lt;/a&gt;&lt;/li&gt;</v>
      </c>
    </row>
    <row r="62" spans="1:6" x14ac:dyDescent="0.3">
      <c r="A62" s="16" t="s">
        <v>38</v>
      </c>
      <c r="B62" t="s">
        <v>231</v>
      </c>
      <c r="C62" t="s">
        <v>2559</v>
      </c>
      <c r="D62" s="14" t="s">
        <v>2570</v>
      </c>
      <c r="E6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es_mejor_caminar.html</v>
      </c>
      <c r="F6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Básico 3, Que veinte años no es nada"&gt;&lt;a href="canciones/revolver/es_mejor_caminar.html"&gt;Es mejor caminar&lt;/a&gt;&lt;/li&gt;</v>
      </c>
    </row>
    <row r="63" spans="1:6" x14ac:dyDescent="0.3">
      <c r="A63" s="16" t="s">
        <v>39</v>
      </c>
      <c r="B63" t="s">
        <v>231</v>
      </c>
      <c r="C63" t="s">
        <v>2498</v>
      </c>
      <c r="D63" s="14" t="s">
        <v>2570</v>
      </c>
      <c r="E6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esclavo_de_tu_amor.html</v>
      </c>
      <c r="F6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Básico"&gt;&lt;a href="canciones/revolver/esclavo_de_tu_amor.html"&gt;Esclavo de tu amor&lt;/a&gt;&lt;/li&gt;</v>
      </c>
    </row>
    <row r="64" spans="1:6" x14ac:dyDescent="0.3">
      <c r="A64" s="16" t="s">
        <v>40</v>
      </c>
      <c r="B64" t="s">
        <v>231</v>
      </c>
      <c r="C64" t="s">
        <v>2544</v>
      </c>
      <c r="D64" s="14" t="s">
        <v>2570</v>
      </c>
      <c r="E6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ese_viejo_rock’n’roll.html</v>
      </c>
      <c r="F6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data-album="Enjoy, Grandes éxitos, Que veinte años no es nada"&gt;&lt;a href="canciones/revolver/ese_viejo_rock’n’roll.html"&gt;Ese viejo Rock’n’Roll&lt;/a&gt;&lt;/li&gt;</v>
      </c>
    </row>
    <row r="65" spans="1:6" x14ac:dyDescent="0.3">
      <c r="A65" s="16" t="s">
        <v>41</v>
      </c>
      <c r="B65" t="s">
        <v>231</v>
      </c>
      <c r="C65" t="s">
        <v>2540</v>
      </c>
      <c r="D65" s="14" t="s">
        <v>2570</v>
      </c>
      <c r="E6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eso_de_saber.html</v>
      </c>
      <c r="F6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Básico IV, Que veinte años no es nada"&gt;&lt;a href="canciones/revolver/eso_de_saber.html"&gt;Eso de saber&lt;/a&gt;&lt;/li&gt;</v>
      </c>
    </row>
    <row r="66" spans="1:6" x14ac:dyDescent="0.3">
      <c r="A66" s="16" t="s">
        <v>42</v>
      </c>
      <c r="B66" t="s">
        <v>231</v>
      </c>
      <c r="C66" t="s">
        <v>2530</v>
      </c>
      <c r="D66" s="14" t="s">
        <v>2570</v>
      </c>
      <c r="E6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esperando_mi_tren.html</v>
      </c>
      <c r="F6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IV, Que veinte años no es nada"&gt;&lt;a href="canciones/revolver/esperando_mi_tren.html"&gt;Esperando mi tren&lt;/a&gt;&lt;/li&gt;</v>
      </c>
    </row>
    <row r="67" spans="1:6" x14ac:dyDescent="0.3">
      <c r="A67" s="16" t="s">
        <v>1479</v>
      </c>
      <c r="B67" t="s">
        <v>231</v>
      </c>
      <c r="C67" t="s">
        <v>2417</v>
      </c>
      <c r="D67" s="14" t="s">
        <v>2570</v>
      </c>
      <c r="E6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esta_ciudad.html</v>
      </c>
      <c r="F6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data-album="Otros"&gt;&lt;a href="canciones/revolver/esta_ciudad.html"&gt;Esta ciudad&lt;/a&gt;&lt;/li&gt;</v>
      </c>
    </row>
    <row r="68" spans="1:6" x14ac:dyDescent="0.3">
      <c r="A68" s="17" t="s">
        <v>2464</v>
      </c>
      <c r="B68" t="s">
        <v>231</v>
      </c>
      <c r="C68" t="s">
        <v>2462</v>
      </c>
      <c r="D68" s="14" t="s">
        <v>2570</v>
      </c>
      <c r="E6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esta_guerra_tuya_y_mia.html</v>
      </c>
      <c r="F6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href="canciones/revolver/esta_guerra_tuya_y_mia.html"&gt;Esta guerra tuya y mía&lt;/a&gt;&lt;/li&gt;</v>
      </c>
    </row>
    <row r="69" spans="1:6" x14ac:dyDescent="0.3">
      <c r="A69" s="16" t="s">
        <v>1485</v>
      </c>
      <c r="B69" t="s">
        <v>2578</v>
      </c>
      <c r="C69" t="s">
        <v>2550</v>
      </c>
      <c r="D69" s="14" t="s">
        <v>2570</v>
      </c>
      <c r="E6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esta_noche_(091).html</v>
      </c>
      <c r="F6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091" data-album="Que veinte años no es nada"&gt;&lt;a href="canciones/revolver/esta_noche_(091).html"&gt;Esta noche (091)&lt;/a&gt;&lt;/li&gt;</v>
      </c>
    </row>
    <row r="70" spans="1:6" x14ac:dyDescent="0.3">
      <c r="A70" s="16" t="s">
        <v>1484</v>
      </c>
      <c r="B70" t="s">
        <v>2579</v>
      </c>
      <c r="C70" t="s">
        <v>2417</v>
      </c>
      <c r="D70" s="14" t="s">
        <v>2570</v>
      </c>
      <c r="E7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esta_noche_a_mis_pies_(maldita_la_hora).html</v>
      </c>
      <c r="F7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Maldita la hora" data-album="Otros"&gt;&lt;a href="canciones/revolver/esta_noche_a_mis_pies_(maldita_la_hora).html"&gt;Esta noche a mis pies (Maldita la hora)&lt;/a&gt;&lt;/li&gt;</v>
      </c>
    </row>
    <row r="71" spans="1:6" x14ac:dyDescent="0.3">
      <c r="A71" s="16" t="s">
        <v>43</v>
      </c>
      <c r="B71" t="s">
        <v>231</v>
      </c>
      <c r="C71" t="s">
        <v>2499</v>
      </c>
      <c r="D71" s="14" t="s">
        <v>2570</v>
      </c>
      <c r="E7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esta_noche_tengo_mas_de_lo_normal.html</v>
      </c>
      <c r="F7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Básico 2"&gt;&lt;a href="canciones/revolver/esta_noche_tengo_mas_de_lo_normal.html"&gt;Esta noche tengo más de lo normal&lt;/a&gt;&lt;/li&gt;</v>
      </c>
    </row>
    <row r="72" spans="1:6" x14ac:dyDescent="0.3">
      <c r="A72" s="16" t="s">
        <v>44</v>
      </c>
      <c r="B72" t="s">
        <v>231</v>
      </c>
      <c r="C72" t="s">
        <v>2519</v>
      </c>
      <c r="D72" s="14" t="s">
        <v>2570</v>
      </c>
      <c r="E7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faro_de_lisboa.html</v>
      </c>
      <c r="F7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Básico 3, Grandes éxitos"&gt;&lt;a href="canciones/revolver/faro_de_lisboa.html"&gt;Faro de Lisboa&lt;/a&gt;&lt;/li&gt;</v>
      </c>
    </row>
    <row r="73" spans="1:6" x14ac:dyDescent="0.3">
      <c r="A73" s="16" t="s">
        <v>45</v>
      </c>
      <c r="B73" t="s">
        <v>231</v>
      </c>
      <c r="C73" t="s">
        <v>2508</v>
      </c>
      <c r="D73" s="14" t="s">
        <v>2570</v>
      </c>
      <c r="E7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frio_en_madrid.html</v>
      </c>
      <c r="F7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data-album="Capitol, Básico IV"&gt;&lt;a href="canciones/revolver/frio_en_madrid.html"&gt;Frío en Madrid&lt;/a&gt;&lt;/li&gt;</v>
      </c>
    </row>
    <row r="74" spans="1:6" x14ac:dyDescent="0.3">
      <c r="A74" s="16" t="s">
        <v>46</v>
      </c>
      <c r="B74" t="s">
        <v>231</v>
      </c>
      <c r="C74" t="s">
        <v>2521</v>
      </c>
      <c r="D74" s="14" t="s">
        <v>2570</v>
      </c>
      <c r="E7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fuera_de_lugar.html</v>
      </c>
      <c r="F7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data-album="Revólver, Básico, Rarezas, Grandes éxitos, Que veinte años no es nada"&gt;&lt;a href="canciones/revolver/fuera_de_lugar.html"&gt;Fuera de lugar&lt;/a&gt;&lt;/li&gt;</v>
      </c>
    </row>
    <row r="75" spans="1:6" x14ac:dyDescent="0.3">
      <c r="A75" s="10" t="s">
        <v>2554</v>
      </c>
      <c r="B75" t="s">
        <v>2580</v>
      </c>
      <c r="C75" t="s">
        <v>2550</v>
      </c>
      <c r="D75" s="14"/>
      <c r="E7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fuimos.html</v>
      </c>
      <c r="F7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Mónaco" data-album="Que veinte años no es nada"&gt;&lt;a href="canciones/revolver/fuimos.html"&gt;Fuimos&lt;/a&gt;&lt;/li&gt;</v>
      </c>
    </row>
    <row r="76" spans="1:6" x14ac:dyDescent="0.3">
      <c r="A76" s="16" t="s">
        <v>47</v>
      </c>
      <c r="B76" t="s">
        <v>231</v>
      </c>
      <c r="C76" t="s">
        <v>2492</v>
      </c>
      <c r="D76" s="14" t="s">
        <v>2570</v>
      </c>
      <c r="E7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gargantas_y_desfiladeros.html</v>
      </c>
      <c r="F7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A.M."&gt;&lt;a href="canciones/revolver/gargantas_y_desfiladeros.html"&gt;Gargantas y desfiladeros&lt;/a&gt;&lt;/li&gt;</v>
      </c>
    </row>
    <row r="77" spans="1:6" x14ac:dyDescent="0.3">
      <c r="A77" s="16" t="s">
        <v>48</v>
      </c>
      <c r="B77" t="s">
        <v>231</v>
      </c>
      <c r="C77" t="s">
        <v>0</v>
      </c>
      <c r="D77" s="14" t="s">
        <v>2570</v>
      </c>
      <c r="E7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hay_besos.html</v>
      </c>
      <c r="F7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href="canciones/revolver/hay_besos.html"&gt;Hay besos&lt;/a&gt;&lt;/li&gt;</v>
      </c>
    </row>
    <row r="78" spans="1:6" x14ac:dyDescent="0.3">
      <c r="A78" s="16" t="s">
        <v>49</v>
      </c>
      <c r="B78" t="s">
        <v>231</v>
      </c>
      <c r="C78" t="s">
        <v>2537</v>
      </c>
      <c r="D78" s="14" t="s">
        <v>2570</v>
      </c>
      <c r="E7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he_de_salir.html</v>
      </c>
      <c r="F7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Que veinte años no es nada"&gt;&lt;a href="canciones/revolver/he_de_salir.html"&gt;He de salir&lt;/a&gt;&lt;/li&gt;</v>
      </c>
    </row>
    <row r="79" spans="1:6" x14ac:dyDescent="0.3">
      <c r="A79" s="10" t="s">
        <v>2569</v>
      </c>
      <c r="B79" t="s">
        <v>2581</v>
      </c>
      <c r="C79" t="s">
        <v>2561</v>
      </c>
      <c r="D79" s="14"/>
      <c r="E7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indestructibles.html</v>
      </c>
      <c r="F7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La Habitación Roja" data-album="Playlist"&gt;&lt;a href="canciones/revolver/indestructibles.html"&gt;Indestructibles&lt;/a&gt;&lt;/li&gt;</v>
      </c>
    </row>
    <row r="80" spans="1:6" x14ac:dyDescent="0.3">
      <c r="A80" s="16" t="s">
        <v>50</v>
      </c>
      <c r="B80" t="s">
        <v>231</v>
      </c>
      <c r="C80" t="s">
        <v>2494</v>
      </c>
      <c r="D80" s="14" t="s">
        <v>2570</v>
      </c>
      <c r="E8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intentando_vadear.html</v>
      </c>
      <c r="F8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href="canciones/revolver/intentando_vadear.html"&gt;Intentando vadear&lt;/a&gt;&lt;/li&gt;</v>
      </c>
    </row>
    <row r="81" spans="1:6" x14ac:dyDescent="0.3">
      <c r="A81" s="17" t="s">
        <v>2469</v>
      </c>
      <c r="B81" t="s">
        <v>231</v>
      </c>
      <c r="C81" t="s">
        <v>2462</v>
      </c>
      <c r="D81" s="14" t="s">
        <v>2570</v>
      </c>
      <c r="E8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johnny_and_mary.html</v>
      </c>
      <c r="F8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data-album="Adictos a la euforia"&gt;&lt;a href="canciones/revolver/johnny_and_mary.html"&gt;Johnny and Mary&lt;/a&gt;&lt;/li&gt;</v>
      </c>
    </row>
    <row r="82" spans="1:6" x14ac:dyDescent="0.3">
      <c r="A82" s="10" t="s">
        <v>2552</v>
      </c>
      <c r="B82" t="s">
        <v>231</v>
      </c>
      <c r="C82" t="s">
        <v>2550</v>
      </c>
      <c r="D82" s="14"/>
      <c r="E8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juan_charrasqueando.html</v>
      </c>
      <c r="F8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href="canciones/revolver/juan_charrasqueando.html"&gt;Juan Charrasqueando&lt;/a&gt;&lt;/li&gt;</v>
      </c>
    </row>
    <row r="83" spans="1:6" x14ac:dyDescent="0.3">
      <c r="A83" s="10" t="s">
        <v>2628</v>
      </c>
      <c r="B83" t="s">
        <v>231</v>
      </c>
      <c r="C83" t="s">
        <v>2625</v>
      </c>
      <c r="D83" s="14"/>
      <c r="E8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king's_road.html</v>
      </c>
      <c r="F8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href="canciones/revolver/king's_road.html"&gt;King's Road&lt;/a&gt;&lt;/li&gt;</v>
      </c>
    </row>
    <row r="84" spans="1:6" x14ac:dyDescent="0.3">
      <c r="A84" s="16" t="s">
        <v>51</v>
      </c>
      <c r="B84" t="s">
        <v>231</v>
      </c>
      <c r="C84" t="s">
        <v>2550</v>
      </c>
      <c r="D84" s="14" t="s">
        <v>2570</v>
      </c>
      <c r="E8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la_carretera.html</v>
      </c>
      <c r="F8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href="canciones/revolver/la_carretera.html"&gt;La carretera&lt;/a&gt;&lt;/li&gt;</v>
      </c>
    </row>
    <row r="85" spans="1:6" x14ac:dyDescent="0.3">
      <c r="A85" s="16" t="s">
        <v>52</v>
      </c>
      <c r="B85" t="s">
        <v>231</v>
      </c>
      <c r="C85" t="s">
        <v>2492</v>
      </c>
      <c r="D85" s="14" t="s">
        <v>2570</v>
      </c>
      <c r="E8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la_flor_mas_bella.html</v>
      </c>
      <c r="F8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A.M."&gt;&lt;a href="canciones/revolver/la_flor_mas_bella.html"&gt;La flor más bella&lt;/a&gt;&lt;/li&gt;</v>
      </c>
    </row>
    <row r="86" spans="1:6" x14ac:dyDescent="0.3">
      <c r="A86" s="16" t="s">
        <v>53</v>
      </c>
      <c r="B86" t="s">
        <v>231</v>
      </c>
      <c r="C86" t="s">
        <v>28</v>
      </c>
      <c r="D86" s="14" t="s">
        <v>2570</v>
      </c>
      <c r="E8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la_fortuna.html</v>
      </c>
      <c r="F8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Dorado"&gt;&lt;a href="canciones/revolver/la_fortuna.html"&gt;La fortuna&lt;/a&gt;&lt;/li&gt;</v>
      </c>
    </row>
    <row r="87" spans="1:6" x14ac:dyDescent="0.3">
      <c r="A87" s="16" t="s">
        <v>1488</v>
      </c>
      <c r="B87" t="s">
        <v>231</v>
      </c>
      <c r="C87" t="s">
        <v>2417</v>
      </c>
      <c r="D87" s="14" t="s">
        <v>2570</v>
      </c>
      <c r="E8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la_luna_se_esconde_(pablo_perea).html</v>
      </c>
      <c r="F8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data-album="Otros"&gt;&lt;a href="canciones/revolver/la_luna_se_esconde_(pablo_perea).html"&gt;La luna se esconde (Pablo Perea)&lt;/a&gt;&lt;/li&gt;</v>
      </c>
    </row>
    <row r="88" spans="1:6" x14ac:dyDescent="0.3">
      <c r="A88" s="16" t="s">
        <v>54</v>
      </c>
      <c r="B88" t="s">
        <v>231</v>
      </c>
      <c r="C88" t="s">
        <v>5</v>
      </c>
      <c r="D88" s="14" t="s">
        <v>2570</v>
      </c>
      <c r="E8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la_moral_mora_en_la_moneda.html</v>
      </c>
      <c r="F8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href="canciones/revolver/la_moral_mora_en_la_moneda.html"&gt;La moral mora en la moneda&lt;/a&gt;&lt;/li&gt;</v>
      </c>
    </row>
    <row r="89" spans="1:6" x14ac:dyDescent="0.3">
      <c r="A89" s="16" t="s">
        <v>2006</v>
      </c>
      <c r="B89" t="s">
        <v>231</v>
      </c>
      <c r="C89" t="s">
        <v>2550</v>
      </c>
      <c r="D89" s="14" t="s">
        <v>2570</v>
      </c>
      <c r="E8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la_rosa_y_la_cruz_(los_rebeldes).html</v>
      </c>
      <c r="F8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href="canciones/revolver/la_rosa_y_la_cruz_(los_rebeldes).html"&gt;La rosa y la cruz (Los rebeldes)&lt;/a&gt;&lt;/li&gt;</v>
      </c>
    </row>
    <row r="90" spans="1:6" x14ac:dyDescent="0.3">
      <c r="A90" s="16" t="s">
        <v>55</v>
      </c>
      <c r="B90" t="s">
        <v>231</v>
      </c>
      <c r="C90" t="s">
        <v>231</v>
      </c>
      <c r="D90" s="14" t="s">
        <v>2570</v>
      </c>
      <c r="E9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la_sonrisa_de_tu_boca.html</v>
      </c>
      <c r="F9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href="canciones/revolver/la_sonrisa_de_tu_boca.html"&gt;La sonrisa de tu boca&lt;/a&gt;&lt;/li&gt;</v>
      </c>
    </row>
    <row r="91" spans="1:6" x14ac:dyDescent="0.3">
      <c r="A91" s="16" t="s">
        <v>56</v>
      </c>
      <c r="B91" t="s">
        <v>231</v>
      </c>
      <c r="C91" t="s">
        <v>2495</v>
      </c>
      <c r="D91" s="14" t="s">
        <v>2570</v>
      </c>
      <c r="E9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la_vanidad.html</v>
      </c>
      <c r="F9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href="canciones/revolver/la_vanidad.html"&gt;La vanidad&lt;/a&gt;&lt;/li&gt;</v>
      </c>
    </row>
    <row r="92" spans="1:6" x14ac:dyDescent="0.3">
      <c r="A92" s="10" t="s">
        <v>2563</v>
      </c>
      <c r="B92" t="s">
        <v>2582</v>
      </c>
      <c r="C92" t="s">
        <v>2561</v>
      </c>
      <c r="D92" s="14"/>
      <c r="E9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la_vereda_de_la_puerta_de_atras.html</v>
      </c>
      <c r="F9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Extremoduro" data-album="Playlist"&gt;&lt;a href="canciones/revolver/la_vereda_de_la_puerta_de_atras.html"&gt;La vereda de la puerta de atrás&lt;/a&gt;&lt;/li&gt;</v>
      </c>
    </row>
    <row r="93" spans="1:6" x14ac:dyDescent="0.3">
      <c r="A93" s="10" t="s">
        <v>1293</v>
      </c>
      <c r="B93" t="s">
        <v>2583</v>
      </c>
      <c r="C93" t="s">
        <v>2561</v>
      </c>
      <c r="D93" s="14"/>
      <c r="E9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lady_madrid.html</v>
      </c>
      <c r="F9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Leiva" data-album="Playlist"&gt;&lt;a href="canciones/revolver/lady_madrid.html"&gt;Lady Madrid&lt;/a&gt;&lt;/li&gt;</v>
      </c>
    </row>
    <row r="94" spans="1:6" x14ac:dyDescent="0.3">
      <c r="A94" s="16" t="s">
        <v>57</v>
      </c>
      <c r="B94" t="s">
        <v>231</v>
      </c>
      <c r="C94" t="s">
        <v>5</v>
      </c>
      <c r="D94" s="14" t="s">
        <v>2570</v>
      </c>
      <c r="E9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las_armas_rotas.html</v>
      </c>
      <c r="F9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href="canciones/revolver/las_armas_rotas.html"&gt;Las armas rotas&lt;/a&gt;&lt;/li&gt;</v>
      </c>
    </row>
    <row r="95" spans="1:6" x14ac:dyDescent="0.3">
      <c r="A95" s="16" t="s">
        <v>58</v>
      </c>
      <c r="B95" t="s">
        <v>231</v>
      </c>
      <c r="C95" t="s">
        <v>5</v>
      </c>
      <c r="D95" s="14" t="s">
        <v>2570</v>
      </c>
      <c r="E9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las_calles_de_madrid.html</v>
      </c>
      <c r="F9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href="canciones/revolver/las_calles_de_madrid.html"&gt;Las calles de Madrid&lt;/a&gt;&lt;/li&gt;</v>
      </c>
    </row>
    <row r="96" spans="1:6" x14ac:dyDescent="0.3">
      <c r="A96" s="16" t="s">
        <v>59</v>
      </c>
      <c r="B96" t="s">
        <v>231</v>
      </c>
      <c r="C96" t="s">
        <v>2545</v>
      </c>
      <c r="D96" s="14" t="s">
        <v>2570</v>
      </c>
      <c r="E9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lecho_de_rosas.html</v>
      </c>
      <c r="F9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Que veinte años no es nada"&gt;&lt;a href="canciones/revolver/lecho_de_rosas.html"&gt;Lecho de rosas&lt;/a&gt;&lt;/li&gt;</v>
      </c>
    </row>
    <row r="97" spans="1:6" x14ac:dyDescent="0.3">
      <c r="A97" s="16" t="s">
        <v>60</v>
      </c>
      <c r="B97" t="s">
        <v>231</v>
      </c>
      <c r="C97" t="s">
        <v>2530</v>
      </c>
      <c r="D97" s="14" t="s">
        <v>2570</v>
      </c>
      <c r="E9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lisa_y_fran.html</v>
      </c>
      <c r="F9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IV, Que veinte años no es nada"&gt;&lt;a href="canciones/revolver/lisa_y_fran.html"&gt;Lisa y Fran&lt;/a&gt;&lt;/li&gt;</v>
      </c>
    </row>
    <row r="98" spans="1:6" x14ac:dyDescent="0.3">
      <c r="A98" s="10" t="s">
        <v>2556</v>
      </c>
      <c r="B98" t="s">
        <v>231</v>
      </c>
      <c r="C98" t="s">
        <v>2550</v>
      </c>
      <c r="D98" s="14"/>
      <c r="E9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lo_mejor_de_lo_peor.html</v>
      </c>
      <c r="F9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href="canciones/revolver/lo_mejor_de_lo_peor.html"&gt;Lo mejor de lo peor&lt;/a&gt;&lt;/li&gt;</v>
      </c>
    </row>
    <row r="99" spans="1:6" x14ac:dyDescent="0.3">
      <c r="A99" s="10" t="s">
        <v>2627</v>
      </c>
      <c r="B99" t="s">
        <v>231</v>
      </c>
      <c r="C99" t="s">
        <v>2625</v>
      </c>
      <c r="D99" s="14"/>
      <c r="E9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lo_mejor_de_mi.html</v>
      </c>
      <c r="F9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href="canciones/revolver/lo_mejor_de_mi.html"&gt;Lo mejor de mí&lt;/a&gt;&lt;/li&gt;</v>
      </c>
    </row>
    <row r="100" spans="1:6" x14ac:dyDescent="0.3">
      <c r="A100" s="16" t="s">
        <v>61</v>
      </c>
      <c r="B100" t="s">
        <v>231</v>
      </c>
      <c r="C100" t="s">
        <v>2560</v>
      </c>
      <c r="D100" s="14" t="s">
        <v>2570</v>
      </c>
      <c r="E10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lo_que_ana_ve.html</v>
      </c>
      <c r="F10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Grandes éxitos, Que veinte años no es nada"&gt;&lt;a href="canciones/revolver/lo_que_ana_ve.html"&gt;Lo que Ana ve&lt;/a&gt;&lt;/li&gt;</v>
      </c>
    </row>
    <row r="101" spans="1:6" x14ac:dyDescent="0.3">
      <c r="A101" s="16" t="s">
        <v>62</v>
      </c>
      <c r="B101" t="s">
        <v>231</v>
      </c>
      <c r="C101" t="s">
        <v>2494</v>
      </c>
      <c r="D101" s="14" t="s">
        <v>2570</v>
      </c>
      <c r="E10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lo_que_me_hace_feliz.html</v>
      </c>
      <c r="F10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href="canciones/revolver/lo_que_me_hace_feliz.html"&gt;Lo que me hace feliz&lt;/a&gt;&lt;/li&gt;</v>
      </c>
    </row>
    <row r="102" spans="1:6" x14ac:dyDescent="0.3">
      <c r="A102" s="16" t="s">
        <v>63</v>
      </c>
      <c r="B102" t="s">
        <v>231</v>
      </c>
      <c r="C102" t="s">
        <v>12</v>
      </c>
      <c r="D102" s="14" t="s">
        <v>2570</v>
      </c>
      <c r="E10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los_surcos_de_tu_espalda.html</v>
      </c>
      <c r="F10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Mayor"&gt;&lt;a href="canciones/revolver/los_surcos_de_tu_espalda.html"&gt;Los surcos de tu espalda&lt;/a&gt;&lt;/li&gt;</v>
      </c>
    </row>
    <row r="103" spans="1:6" x14ac:dyDescent="0.3">
      <c r="A103" s="16" t="s">
        <v>1478</v>
      </c>
      <c r="B103" t="s">
        <v>231</v>
      </c>
      <c r="C103" t="s">
        <v>2417</v>
      </c>
      <c r="D103" s="14" t="s">
        <v>2570</v>
      </c>
      <c r="E10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los_tres_caballeros.html</v>
      </c>
      <c r="F10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data-album="Otros"&gt;&lt;a href="canciones/revolver/los_tres_caballeros.html"&gt;Los tres caballeros&lt;/a&gt;&lt;/li&gt;</v>
      </c>
    </row>
    <row r="104" spans="1:6" x14ac:dyDescent="0.3">
      <c r="A104" s="16" t="s">
        <v>64</v>
      </c>
      <c r="B104" t="s">
        <v>231</v>
      </c>
      <c r="C104" t="s">
        <v>2495</v>
      </c>
      <c r="D104" s="14" t="s">
        <v>2570</v>
      </c>
      <c r="E10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magnolia_lane.html</v>
      </c>
      <c r="F10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href="canciones/revolver/magnolia_lane.html"&gt;Magnolia Lane&lt;/a&gt;&lt;/li&gt;</v>
      </c>
    </row>
    <row r="105" spans="1:6" x14ac:dyDescent="0.3">
      <c r="A105" s="16" t="s">
        <v>65</v>
      </c>
      <c r="B105" t="s">
        <v>231</v>
      </c>
      <c r="C105" t="s">
        <v>2504</v>
      </c>
      <c r="D105" s="14" t="s">
        <v>2570</v>
      </c>
      <c r="E10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malvarrosa_affaire.html</v>
      </c>
      <c r="F10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Enjoy"&gt;&lt;a href="canciones/revolver/malvarrosa_affaire.html"&gt;Malvarrosa Affaire&lt;/a&gt;&lt;/li&gt;</v>
      </c>
    </row>
    <row r="106" spans="1:6" x14ac:dyDescent="0.3">
      <c r="A106" s="10" t="s">
        <v>2487</v>
      </c>
      <c r="B106" t="s">
        <v>231</v>
      </c>
      <c r="C106" t="s">
        <v>2498</v>
      </c>
      <c r="D106" s="14"/>
      <c r="E10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manager's_blues.html</v>
      </c>
      <c r="F10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Básico"&gt;&lt;a href="canciones/revolver/manager's_blues.html"&gt;Manager's Blues&lt;/a&gt;&lt;/li&gt;</v>
      </c>
    </row>
    <row r="107" spans="1:6" x14ac:dyDescent="0.3">
      <c r="A107" s="16" t="s">
        <v>66</v>
      </c>
      <c r="B107" t="s">
        <v>231</v>
      </c>
      <c r="C107" t="s">
        <v>2494</v>
      </c>
      <c r="D107" s="14" t="s">
        <v>2570</v>
      </c>
      <c r="E10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manos_arriba.html</v>
      </c>
      <c r="F10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href="canciones/revolver/manos_arriba.html"&gt;Manos arriba&lt;/a&gt;&lt;/li&gt;</v>
      </c>
    </row>
    <row r="108" spans="1:6" x14ac:dyDescent="0.3">
      <c r="A108" s="10" t="s">
        <v>2626</v>
      </c>
      <c r="B108" t="s">
        <v>231</v>
      </c>
      <c r="C108" t="s">
        <v>2625</v>
      </c>
      <c r="D108" s="14"/>
      <c r="E10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marcial_cuartero_i.html</v>
      </c>
      <c r="F10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href="canciones/revolver/marcial_cuartero_i.html"&gt;Marcial Cuartero I&lt;/a&gt;&lt;/li&gt;</v>
      </c>
    </row>
    <row r="109" spans="1:6" x14ac:dyDescent="0.3">
      <c r="A109" s="10" t="s">
        <v>2626</v>
      </c>
      <c r="B109" t="s">
        <v>231</v>
      </c>
      <c r="C109" t="s">
        <v>2625</v>
      </c>
      <c r="D109" s="14"/>
      <c r="E10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marcial_cuartero_i.html</v>
      </c>
      <c r="F10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href="canciones/revolver/marcial_cuartero_i.html"&gt;Marcial Cuartero I&lt;/a&gt;&lt;/li&gt;</v>
      </c>
    </row>
    <row r="110" spans="1:6" x14ac:dyDescent="0.3">
      <c r="A110" s="10" t="s">
        <v>2626</v>
      </c>
      <c r="B110" t="s">
        <v>231</v>
      </c>
      <c r="C110" t="s">
        <v>2625</v>
      </c>
      <c r="D110" s="14"/>
      <c r="E11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marcial_cuartero_i.html</v>
      </c>
      <c r="F11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href="canciones/revolver/marcial_cuartero_i.html"&gt;Marcial Cuartero I&lt;/a&gt;&lt;/li&gt;</v>
      </c>
    </row>
    <row r="111" spans="1:6" x14ac:dyDescent="0.3">
      <c r="A111" s="16" t="s">
        <v>67</v>
      </c>
      <c r="B111" t="s">
        <v>231</v>
      </c>
      <c r="C111" t="s">
        <v>2558</v>
      </c>
      <c r="D111" s="14" t="s">
        <v>2570</v>
      </c>
      <c r="E11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marineros_varados.html</v>
      </c>
      <c r="F11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3, Que veinte años no es nada"&gt;&lt;a href="canciones/revolver/marineros_varados.html"&gt;Marineros varados&lt;/a&gt;&lt;/li&gt;</v>
      </c>
    </row>
    <row r="112" spans="1:6" x14ac:dyDescent="0.3">
      <c r="A112" s="16" t="s">
        <v>68</v>
      </c>
      <c r="B112" t="s">
        <v>231</v>
      </c>
      <c r="C112" t="s">
        <v>2545</v>
      </c>
      <c r="D112" s="14" t="s">
        <v>2570</v>
      </c>
      <c r="E11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mas_por_ellos_que_por_mi.html</v>
      </c>
      <c r="F11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Que veinte años no es nada"&gt;&lt;a href="canciones/revolver/mas_por_ellos_que_por_mi.html"&gt;Más por ellos que por mí&lt;/a&gt;&lt;/li&gt;</v>
      </c>
    </row>
    <row r="113" spans="1:6" x14ac:dyDescent="0.3">
      <c r="A113" s="16" t="s">
        <v>69</v>
      </c>
      <c r="B113" t="s">
        <v>231</v>
      </c>
      <c r="C113" t="s">
        <v>2508</v>
      </c>
      <c r="D113" s="14" t="s">
        <v>2570</v>
      </c>
      <c r="E11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mas_tequila.html</v>
      </c>
      <c r="F11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data-album="Capitol, Básico IV"&gt;&lt;a href="canciones/revolver/mas_tequila.html"&gt;Más tequila&lt;/a&gt;&lt;/li&gt;</v>
      </c>
    </row>
    <row r="114" spans="1:6" x14ac:dyDescent="0.3">
      <c r="A114" s="16" t="s">
        <v>1483</v>
      </c>
      <c r="B114" t="s">
        <v>2584</v>
      </c>
      <c r="C114" t="s">
        <v>2417</v>
      </c>
      <c r="D114" s="14" t="s">
        <v>2570</v>
      </c>
      <c r="E11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me_cuesta_tanto_olvidarte_(mecano).html</v>
      </c>
      <c r="F11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Mecano" data-album="Otros"&gt;&lt;a href="canciones/revolver/me_cuesta_tanto_olvidarte_(mecano).html"&gt;Me cuesta tanto olvidarte (Mecano)&lt;/a&gt;&lt;/li&gt;</v>
      </c>
    </row>
    <row r="115" spans="1:6" x14ac:dyDescent="0.3">
      <c r="A115" s="10" t="s">
        <v>2488</v>
      </c>
      <c r="B115" t="s">
        <v>231</v>
      </c>
      <c r="C115" t="s">
        <v>2553</v>
      </c>
      <c r="D115" s="14"/>
      <c r="E11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me_vuelvo_loco.html</v>
      </c>
      <c r="F11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Rarezas, Que veinte años no es nada"&gt;&lt;a href="canciones/revolver/me_vuelvo_loco.html"&gt;Me vuelvo loco&lt;/a&gt;&lt;/li&gt;</v>
      </c>
    </row>
    <row r="116" spans="1:6" x14ac:dyDescent="0.3">
      <c r="A116" s="10" t="s">
        <v>2564</v>
      </c>
      <c r="B116" t="s">
        <v>2591</v>
      </c>
      <c r="C116" t="s">
        <v>2561</v>
      </c>
      <c r="D116" s="14"/>
      <c r="E11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mesa_para_dos.html</v>
      </c>
      <c r="F11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Rubén Pozo" data-album="Playlist"&gt;&lt;a href="canciones/revolver/mesa_para_dos.html"&gt;Mesa para dos&lt;/a&gt;&lt;/li&gt;</v>
      </c>
    </row>
    <row r="117" spans="1:6" x14ac:dyDescent="0.3">
      <c r="A117" s="16" t="s">
        <v>70</v>
      </c>
      <c r="B117" t="s">
        <v>231</v>
      </c>
      <c r="C117" t="s">
        <v>2546</v>
      </c>
      <c r="D117" s="14" t="s">
        <v>2570</v>
      </c>
      <c r="E11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mestizo.html</v>
      </c>
      <c r="F11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data-album="Mestizo, Básico 3, Enjoy, Que veinte años no es nada"&gt;&lt;a href="canciones/revolver/mestizo.html"&gt;Mestizo&lt;/a&gt;&lt;/li&gt;</v>
      </c>
    </row>
    <row r="118" spans="1:6" x14ac:dyDescent="0.3">
      <c r="A118" s="16" t="s">
        <v>71</v>
      </c>
      <c r="B118" t="s">
        <v>231</v>
      </c>
      <c r="C118" t="s">
        <v>2494</v>
      </c>
      <c r="D118" s="14" t="s">
        <v>2570</v>
      </c>
      <c r="E11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mi_norte_siempre_apunta_al_sur.html</v>
      </c>
      <c r="F11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href="canciones/revolver/mi_norte_siempre_apunta_al_sur.html"&gt;Mi norte siempre apunta al sur&lt;/a&gt;&lt;/li&gt;</v>
      </c>
    </row>
    <row r="119" spans="1:6" x14ac:dyDescent="0.3">
      <c r="A119" s="16" t="s">
        <v>72</v>
      </c>
      <c r="B119" t="s">
        <v>231</v>
      </c>
      <c r="C119" t="s">
        <v>2533</v>
      </c>
      <c r="D119" s="14" t="s">
        <v>2570</v>
      </c>
      <c r="E11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mi_rendicion.html</v>
      </c>
      <c r="F11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Básico 2, Grandes éxitos, Que veinte años no es nada"&gt;&lt;a href="canciones/revolver/mi_rendicion.html"&gt;Mi rendición&lt;/a&gt;&lt;/li&gt;</v>
      </c>
    </row>
    <row r="120" spans="1:6" x14ac:dyDescent="0.3">
      <c r="A120" s="16" t="s">
        <v>73</v>
      </c>
      <c r="B120" t="s">
        <v>231</v>
      </c>
      <c r="C120" t="s">
        <v>5</v>
      </c>
      <c r="D120" s="14" t="s">
        <v>2570</v>
      </c>
      <c r="E12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mi_revolucion.html</v>
      </c>
      <c r="F12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href="canciones/revolver/mi_revolucion.html"&gt;Mi revolución&lt;/a&gt;&lt;/li&gt;</v>
      </c>
    </row>
    <row r="121" spans="1:6" x14ac:dyDescent="0.3">
      <c r="A121" s="10" t="s">
        <v>2489</v>
      </c>
      <c r="B121" t="s">
        <v>231</v>
      </c>
      <c r="C121" t="s">
        <v>2553</v>
      </c>
      <c r="D121" s="14"/>
      <c r="E12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mi_segundo_amor.html</v>
      </c>
      <c r="F12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Rarezas, Que veinte años no es nada"&gt;&lt;a href="canciones/revolver/mi_segundo_amor.html"&gt;Mi segundo amor&lt;/a&gt;&lt;/li&gt;</v>
      </c>
    </row>
    <row r="122" spans="1:6" x14ac:dyDescent="0.3">
      <c r="A122" s="10" t="s">
        <v>2631</v>
      </c>
      <c r="B122" t="s">
        <v>231</v>
      </c>
      <c r="C122" t="s">
        <v>2625</v>
      </c>
      <c r="D122" s="14"/>
      <c r="E12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mis_asuntos_y_batallas.html</v>
      </c>
      <c r="F12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href="canciones/revolver/mis_asuntos_y_batallas.html"&gt;Mis asuntos y batallas&lt;/a&gt;&lt;/li&gt;</v>
      </c>
    </row>
    <row r="123" spans="1:6" x14ac:dyDescent="0.3">
      <c r="A123" s="10" t="s">
        <v>2486</v>
      </c>
      <c r="B123" t="s">
        <v>231</v>
      </c>
      <c r="C123" t="s">
        <v>99</v>
      </c>
      <c r="D123" s="14"/>
      <c r="E12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mueve_tu_cuerpo_frente_a_mi.html</v>
      </c>
      <c r="F12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correr"&gt;&lt;a href="canciones/revolver/mueve_tu_cuerpo_frente_a_mi.html"&gt;Mueve tu cuerpo frente a mí&lt;/a&gt;&lt;/li&gt;</v>
      </c>
    </row>
    <row r="124" spans="1:6" x14ac:dyDescent="0.3">
      <c r="A124" s="16" t="s">
        <v>1489</v>
      </c>
      <c r="B124" t="s">
        <v>2585</v>
      </c>
      <c r="C124" t="s">
        <v>2417</v>
      </c>
      <c r="D124" s="14" t="s">
        <v>2570</v>
      </c>
      <c r="E12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muevete_(ni_un_pelo_de_tonto).html</v>
      </c>
      <c r="F12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Ni un Pelo de Tonto" data-album="Otros"&gt;&lt;a href="canciones/revolver/muevete_(ni_un_pelo_de_tonto).html"&gt;Muévete (Ni un pelo de tonto)&lt;/a&gt;&lt;/li&gt;</v>
      </c>
    </row>
    <row r="125" spans="1:6" x14ac:dyDescent="0.3">
      <c r="A125" s="10" t="s">
        <v>2632</v>
      </c>
      <c r="B125" t="s">
        <v>231</v>
      </c>
      <c r="C125" t="s">
        <v>2625</v>
      </c>
      <c r="D125" s="14"/>
      <c r="E12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mundos_paralelos.html</v>
      </c>
      <c r="F12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href="canciones/revolver/mundos_paralelos.html"&gt;Mundos paralelos&lt;/a&gt;&lt;/li&gt;</v>
      </c>
    </row>
    <row r="126" spans="1:6" x14ac:dyDescent="0.3">
      <c r="A126" s="16" t="s">
        <v>74</v>
      </c>
      <c r="B126" t="s">
        <v>231</v>
      </c>
      <c r="C126" t="s">
        <v>2495</v>
      </c>
      <c r="D126" s="14" t="s">
        <v>2570</v>
      </c>
      <c r="E12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mustang_shelby.html</v>
      </c>
      <c r="F12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href="canciones/revolver/mustang_shelby.html"&gt;Mustang Shelby&lt;/a&gt;&lt;/li&gt;</v>
      </c>
    </row>
    <row r="127" spans="1:6" x14ac:dyDescent="0.3">
      <c r="A127" s="16" t="s">
        <v>75</v>
      </c>
      <c r="B127" t="s">
        <v>231</v>
      </c>
      <c r="C127" t="s">
        <v>28</v>
      </c>
      <c r="D127" s="14" t="s">
        <v>2570</v>
      </c>
      <c r="E12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nacidos_para_la_gloria.html</v>
      </c>
      <c r="F12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Dorado"&gt;&lt;a href="canciones/revolver/nacidos_para_la_gloria.html"&gt;Nacidos para la gloria&lt;/a&gt;&lt;/li&gt;</v>
      </c>
    </row>
    <row r="128" spans="1:6" x14ac:dyDescent="0.3">
      <c r="A128" s="16" t="s">
        <v>1232</v>
      </c>
      <c r="B128" t="s">
        <v>231</v>
      </c>
      <c r="C128" t="s">
        <v>2509</v>
      </c>
      <c r="D128" s="14" t="s">
        <v>2570</v>
      </c>
      <c r="E12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no_escupas_al_suelo.html</v>
      </c>
      <c r="F12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IV"&gt;&lt;a href="canciones/revolver/no_escupas_al_suelo.html"&gt;No escupas al suelo&lt;/a&gt;&lt;/li&gt;</v>
      </c>
    </row>
    <row r="129" spans="1:6" x14ac:dyDescent="0.3">
      <c r="A129" s="16" t="s">
        <v>76</v>
      </c>
      <c r="B129" t="s">
        <v>231</v>
      </c>
      <c r="C129" t="s">
        <v>2505</v>
      </c>
      <c r="D129" s="14" t="s">
        <v>2570</v>
      </c>
      <c r="E12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no_hay_mañanas.html</v>
      </c>
      <c r="F12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data-album="Argán, Enjoy"&gt;&lt;a href="canciones/revolver/no_hay_mañanas.html"&gt;No hay mañanas&lt;/a&gt;&lt;/li&gt;</v>
      </c>
    </row>
    <row r="130" spans="1:6" x14ac:dyDescent="0.3">
      <c r="A130" s="16" t="s">
        <v>77</v>
      </c>
      <c r="B130" t="s">
        <v>231</v>
      </c>
      <c r="C130" t="s">
        <v>0</v>
      </c>
      <c r="D130" s="14" t="s">
        <v>2570</v>
      </c>
      <c r="E13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no_me_hace_falta_mas.html</v>
      </c>
      <c r="F13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href="canciones/revolver/no_me_hace_falta_mas.html"&gt;No me hace falta más&lt;/a&gt;&lt;/li&gt;</v>
      </c>
    </row>
    <row r="131" spans="1:6" x14ac:dyDescent="0.3">
      <c r="A131" s="10" t="s">
        <v>2633</v>
      </c>
      <c r="B131" t="s">
        <v>231</v>
      </c>
      <c r="C131" t="s">
        <v>2625</v>
      </c>
      <c r="D131" s="14"/>
      <c r="E13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no_practicar_esgrima_con_pistoleros.html</v>
      </c>
      <c r="F13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href="canciones/revolver/no_practicar_esgrima_con_pistoleros.html"&gt;No practicar esgrima con pistoleros&lt;/a&gt;&lt;/li&gt;</v>
      </c>
    </row>
    <row r="132" spans="1:6" x14ac:dyDescent="0.3">
      <c r="A132" s="16" t="s">
        <v>78</v>
      </c>
      <c r="B132" t="s">
        <v>231</v>
      </c>
      <c r="C132" t="s">
        <v>2528</v>
      </c>
      <c r="D132" s="14" t="s">
        <v>2570</v>
      </c>
      <c r="E13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no_va_mas.html</v>
      </c>
      <c r="F13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2, Enjoy, Rarezas, Grandes éxitos, Que veinte años no es nada"&gt;&lt;a href="canciones/revolver/no_va_mas.html"&gt;No va más&lt;/a&gt;&lt;/li&gt;</v>
      </c>
    </row>
    <row r="133" spans="1:6" x14ac:dyDescent="0.3">
      <c r="A133" s="16" t="s">
        <v>79</v>
      </c>
      <c r="B133" t="s">
        <v>231</v>
      </c>
      <c r="C133" t="s">
        <v>2541</v>
      </c>
      <c r="D133" s="14" t="s">
        <v>2570</v>
      </c>
      <c r="E13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odio.html</v>
      </c>
      <c r="F13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Básico 3, Grandes éxitos, Que veinte años no es nada"&gt;&lt;a href="canciones/revolver/odio.html"&gt;Odio&lt;/a&gt;&lt;/li&gt;</v>
      </c>
    </row>
    <row r="134" spans="1:6" x14ac:dyDescent="0.3">
      <c r="A134" s="16" t="s">
        <v>80</v>
      </c>
      <c r="B134" t="s">
        <v>231</v>
      </c>
      <c r="C134" t="s">
        <v>70</v>
      </c>
      <c r="D134" s="14" t="s">
        <v>2570</v>
      </c>
      <c r="E13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olas_muertas.html</v>
      </c>
      <c r="F13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href="canciones/revolver/olas_muertas.html"&gt;Olas muertas&lt;/a&gt;&lt;/li&gt;</v>
      </c>
    </row>
    <row r="135" spans="1:6" x14ac:dyDescent="0.3">
      <c r="A135" s="16" t="s">
        <v>1233</v>
      </c>
      <c r="B135" t="s">
        <v>231</v>
      </c>
      <c r="C135" t="s">
        <v>2509</v>
      </c>
      <c r="D135" s="14" t="s">
        <v>2570</v>
      </c>
      <c r="E13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olvide_nuestra_cancion.html</v>
      </c>
      <c r="F13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IV"&gt;&lt;a href="canciones/revolver/olvide_nuestra_cancion.html"&gt;Olvidé nuestra canción&lt;/a&gt;&lt;/li&gt;</v>
      </c>
    </row>
    <row r="136" spans="1:6" x14ac:dyDescent="0.3">
      <c r="A136" s="10" t="s">
        <v>2483</v>
      </c>
      <c r="B136" t="s">
        <v>231</v>
      </c>
      <c r="C136" t="s">
        <v>2522</v>
      </c>
      <c r="D136" s="14"/>
      <c r="E13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pais_del_sur.html</v>
      </c>
      <c r="F13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data-album="Revólver, Que veinte años no es nada"&gt;&lt;a href="canciones/revolver/pais_del_sur.html"&gt;País del sur&lt;/a&gt;&lt;/li&gt;</v>
      </c>
    </row>
    <row r="137" spans="1:6" x14ac:dyDescent="0.3">
      <c r="A137" s="16" t="s">
        <v>2007</v>
      </c>
      <c r="B137" t="s">
        <v>2586</v>
      </c>
      <c r="C137" t="s">
        <v>2550</v>
      </c>
      <c r="D137" s="14" t="s">
        <v>2570</v>
      </c>
      <c r="E13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palabras_sin_nombre_(duncan_dhu).html</v>
      </c>
      <c r="F13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Duncan Dhu" data-album="Que veinte años no es nada"&gt;&lt;a href="canciones/revolver/palabras_sin_nombre_(duncan_dhu).html"&gt;Palabras sin nombre (Duncan Dhu)&lt;/a&gt;&lt;/li&gt;</v>
      </c>
    </row>
    <row r="138" spans="1:6" x14ac:dyDescent="0.3">
      <c r="A138" s="10" t="s">
        <v>2634</v>
      </c>
      <c r="B138" t="s">
        <v>231</v>
      </c>
      <c r="C138" t="s">
        <v>2625</v>
      </c>
      <c r="D138" s="14"/>
      <c r="E13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pelea_entre_dos_frentes.html</v>
      </c>
      <c r="F13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data-album="LA 03010"&gt;&lt;a href="canciones/revolver/pelea_entre_dos_frentes.html"&gt;Pelea entre dos frentes&lt;/a&gt;&lt;/li&gt;</v>
      </c>
    </row>
    <row r="139" spans="1:6" x14ac:dyDescent="0.3">
      <c r="A139" s="16" t="s">
        <v>81</v>
      </c>
      <c r="B139" t="s">
        <v>231</v>
      </c>
      <c r="C139" t="s">
        <v>2508</v>
      </c>
      <c r="D139" s="14" t="s">
        <v>2570</v>
      </c>
      <c r="E13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perdi_lo_que_no_tuve.html</v>
      </c>
      <c r="F13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data-album="Capitol, Básico IV"&gt;&lt;a href="canciones/revolver/perdi_lo_que_no_tuve.html"&gt;Perdí lo que no tuve&lt;/a&gt;&lt;/li&gt;</v>
      </c>
    </row>
    <row r="140" spans="1:6" x14ac:dyDescent="0.3">
      <c r="A140" s="16" t="s">
        <v>82</v>
      </c>
      <c r="B140" t="s">
        <v>231</v>
      </c>
      <c r="C140" t="s">
        <v>2542</v>
      </c>
      <c r="D140" s="14" t="s">
        <v>2570</v>
      </c>
      <c r="E14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petroleros.html</v>
      </c>
      <c r="F14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A.M., Que veinte años no es nada"&gt;&lt;a href="canciones/revolver/petroleros.html"&gt;Petroleros&lt;/a&gt;&lt;/li&gt;</v>
      </c>
    </row>
    <row r="141" spans="1:6" x14ac:dyDescent="0.3">
      <c r="A141" s="16" t="s">
        <v>83</v>
      </c>
      <c r="B141" t="s">
        <v>231</v>
      </c>
      <c r="C141" t="s">
        <v>70</v>
      </c>
      <c r="D141" s="14" t="s">
        <v>2570</v>
      </c>
      <c r="E14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planeta_prozac.html</v>
      </c>
      <c r="F14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href="canciones/revolver/planeta_prozac.html"&gt;Planeta Prozac&lt;/a&gt;&lt;/li&gt;</v>
      </c>
    </row>
    <row r="142" spans="1:6" x14ac:dyDescent="0.3">
      <c r="A142" s="10" t="s">
        <v>1090</v>
      </c>
      <c r="B142" t="s">
        <v>231</v>
      </c>
      <c r="C142" t="s">
        <v>2516</v>
      </c>
      <c r="D142" s="14"/>
      <c r="E14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pongamos_que_hablo_de_madrid.html</v>
      </c>
      <c r="F14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Rarezas"&gt;&lt;a href="canciones/revolver/pongamos_que_hablo_de_madrid.html"&gt;Pongamos que hablo de Madrid&lt;/a&gt;&lt;/li&gt;</v>
      </c>
    </row>
    <row r="143" spans="1:6" x14ac:dyDescent="0.3">
      <c r="A143" s="16" t="s">
        <v>84</v>
      </c>
      <c r="B143" t="s">
        <v>231</v>
      </c>
      <c r="C143" t="s">
        <v>2529</v>
      </c>
      <c r="D143" s="14" t="s">
        <v>2570</v>
      </c>
      <c r="E14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por_un_beso.html</v>
      </c>
      <c r="F14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Que veinte años no es nada"&gt;&lt;a href="canciones/revolver/por_un_beso.html"&gt;Por un beso&lt;/a&gt;&lt;/li&gt;</v>
      </c>
    </row>
    <row r="144" spans="1:6" x14ac:dyDescent="0.3">
      <c r="A144" s="16" t="s">
        <v>85</v>
      </c>
      <c r="B144" t="s">
        <v>231</v>
      </c>
      <c r="C144" t="s">
        <v>2495</v>
      </c>
      <c r="D144" s="14" t="s">
        <v>2570</v>
      </c>
      <c r="E14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premios_y_cicatrices.html</v>
      </c>
      <c r="F14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href="canciones/revolver/premios_y_cicatrices.html"&gt;Premios y cicatrices&lt;/a&gt;&lt;/li&gt;</v>
      </c>
    </row>
    <row r="145" spans="1:6" x14ac:dyDescent="0.3">
      <c r="A145" s="16" t="s">
        <v>86</v>
      </c>
      <c r="B145" t="s">
        <v>231</v>
      </c>
      <c r="C145" t="s">
        <v>2494</v>
      </c>
      <c r="D145" s="14" t="s">
        <v>2570</v>
      </c>
      <c r="E14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princesas_o_mendigos.html</v>
      </c>
      <c r="F14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href="canciones/revolver/princesas_o_mendigos.html"&gt;Princesas o mendigos&lt;/a&gt;&lt;/li&gt;</v>
      </c>
    </row>
    <row r="146" spans="1:6" x14ac:dyDescent="0.3">
      <c r="A146" s="16" t="s">
        <v>2115</v>
      </c>
      <c r="B146" t="s">
        <v>2587</v>
      </c>
      <c r="C146" t="s">
        <v>2517</v>
      </c>
      <c r="D146" s="14" t="s">
        <v>2570</v>
      </c>
      <c r="E14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que_sera_(jose_feliciano).html</v>
      </c>
      <c r="F14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José Feliciano" data-album="Grandes éxitos"&gt;&lt;a href="canciones/revolver/que_sera_(jose_feliciano).html"&gt;Qué será (José Feliciano)&lt;/a&gt;&lt;/li&gt;</v>
      </c>
    </row>
    <row r="147" spans="1:6" x14ac:dyDescent="0.3">
      <c r="A147" s="16" t="s">
        <v>87</v>
      </c>
      <c r="B147" t="s">
        <v>231</v>
      </c>
      <c r="C147" t="s">
        <v>70</v>
      </c>
      <c r="D147" s="14" t="s">
        <v>2570</v>
      </c>
      <c r="E14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quien_esta_mas_vivo_de_los_dos.html</v>
      </c>
      <c r="F14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href="canciones/revolver/quien_esta_mas_vivo_de_los_dos.html"&gt;Quién está más vivo de los dos&lt;/a&gt;&lt;/li&gt;</v>
      </c>
    </row>
    <row r="148" spans="1:6" x14ac:dyDescent="0.3">
      <c r="A148" s="16" t="s">
        <v>88</v>
      </c>
      <c r="B148" t="s">
        <v>231</v>
      </c>
      <c r="C148" t="s">
        <v>2494</v>
      </c>
      <c r="D148" s="14" t="s">
        <v>2570</v>
      </c>
      <c r="E14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quiero_aire.html</v>
      </c>
      <c r="F14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href="canciones/revolver/quiero_aire.html"&gt;Quiero aire&lt;/a&gt;&lt;/li&gt;</v>
      </c>
    </row>
    <row r="149" spans="1:6" x14ac:dyDescent="0.3">
      <c r="A149" s="10" t="s">
        <v>2491</v>
      </c>
      <c r="B149" t="s">
        <v>231</v>
      </c>
      <c r="C149" t="s">
        <v>2551</v>
      </c>
      <c r="D149" s="14"/>
      <c r="E14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quiero_beber_hasta_perder_el_control.html</v>
      </c>
      <c r="F14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Rarezas, Que veinte años no es nada"&gt;&lt;a href="canciones/revolver/quiero_beber_hasta_perder_el_control.html"&gt;Quiero beber hasta perder el control&lt;/a&gt;&lt;/li&gt;</v>
      </c>
    </row>
    <row r="150" spans="1:6" x14ac:dyDescent="0.3">
      <c r="A150" s="16" t="s">
        <v>89</v>
      </c>
      <c r="B150" t="s">
        <v>231</v>
      </c>
      <c r="C150" t="s">
        <v>2494</v>
      </c>
      <c r="D150" s="14" t="s">
        <v>2570</v>
      </c>
      <c r="E15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reconozco_la_frontera.html</v>
      </c>
      <c r="F15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href="canciones/revolver/reconozco_la_frontera.html"&gt;Reconozco la frontera&lt;/a&gt;&lt;/li&gt;</v>
      </c>
    </row>
    <row r="151" spans="1:6" x14ac:dyDescent="0.3">
      <c r="A151" s="16" t="s">
        <v>90</v>
      </c>
      <c r="B151" t="s">
        <v>231</v>
      </c>
      <c r="C151" t="s">
        <v>12</v>
      </c>
      <c r="D151" s="14" t="s">
        <v>2570</v>
      </c>
      <c r="E15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reir_y_llorar.html</v>
      </c>
      <c r="F15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Mayor"&gt;&lt;a href="canciones/revolver/reir_y_llorar.html"&gt;Reír y llorar&lt;/a&gt;&lt;/li&gt;</v>
      </c>
    </row>
    <row r="152" spans="1:6" x14ac:dyDescent="0.3">
      <c r="A152" s="16" t="s">
        <v>123</v>
      </c>
      <c r="B152" t="s">
        <v>231</v>
      </c>
      <c r="C152" t="s">
        <v>5</v>
      </c>
      <c r="D152" s="14" t="s">
        <v>2570</v>
      </c>
      <c r="E15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respirando_bajo_el_agua.html</v>
      </c>
      <c r="F15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href="canciones/revolver/respirando_bajo_el_agua.html"&gt;Respirando bajo el agua&lt;/a&gt;&lt;/li&gt;</v>
      </c>
    </row>
    <row r="153" spans="1:6" x14ac:dyDescent="0.3">
      <c r="A153" s="16" t="s">
        <v>1482</v>
      </c>
      <c r="B153" t="s">
        <v>2588</v>
      </c>
      <c r="C153" t="s">
        <v>2417</v>
      </c>
      <c r="D153" s="14" t="s">
        <v>2570</v>
      </c>
      <c r="E15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revolucion_(tregua).html</v>
      </c>
      <c r="F15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Tregua" data-album="Otros"&gt;&lt;a href="canciones/revolver/revolucion_(tregua).html"&gt;Revolución (Tregua)&lt;/a&gt;&lt;/li&gt;</v>
      </c>
    </row>
    <row r="154" spans="1:6" x14ac:dyDescent="0.3">
      <c r="A154" s="10" t="s">
        <v>2596</v>
      </c>
      <c r="B154" t="s">
        <v>231</v>
      </c>
      <c r="C154" t="s">
        <v>231</v>
      </c>
      <c r="D154" s="14"/>
      <c r="E15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rock_n_roll.html</v>
      </c>
      <c r="F15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href="canciones/revolver/rock_n_roll.html"&gt;Rock n Roll&lt;/a&gt;&lt;/li&gt;</v>
      </c>
    </row>
    <row r="155" spans="1:6" x14ac:dyDescent="0.3">
      <c r="A155" s="16" t="s">
        <v>91</v>
      </c>
      <c r="B155" t="s">
        <v>231</v>
      </c>
      <c r="C155" t="s">
        <v>2537</v>
      </c>
      <c r="D155" s="14" t="s">
        <v>2570</v>
      </c>
      <c r="E15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rodrigo_y_teresa.html</v>
      </c>
      <c r="F15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Que veinte años no es nada"&gt;&lt;a href="canciones/revolver/rodrigo_y_teresa.html"&gt;Rodrigo y Teresa&lt;/a&gt;&lt;/li&gt;</v>
      </c>
    </row>
    <row r="156" spans="1:6" x14ac:dyDescent="0.3">
      <c r="A156" s="18" t="s">
        <v>92</v>
      </c>
      <c r="B156" t="s">
        <v>231</v>
      </c>
      <c r="C156" t="s">
        <v>2550</v>
      </c>
      <c r="D156" s="14" t="s">
        <v>2570</v>
      </c>
      <c r="E15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rosario.html</v>
      </c>
      <c r="F15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href="canciones/revolver/rosario.html"&gt;Rosario&lt;/a&gt;&lt;/li&gt;</v>
      </c>
    </row>
    <row r="157" spans="1:6" x14ac:dyDescent="0.3">
      <c r="A157" s="19" t="s">
        <v>2496</v>
      </c>
      <c r="B157" t="s">
        <v>231</v>
      </c>
      <c r="C157" t="s">
        <v>2495</v>
      </c>
      <c r="D157" s="14"/>
      <c r="E15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sacristan_de_sacristanes.html</v>
      </c>
      <c r="F15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href="canciones/revolver/sacristan_de_sacristanes.html"&gt;Sacristán de sacristanes&lt;/a&gt;&lt;/li&gt;</v>
      </c>
    </row>
    <row r="158" spans="1:6" x14ac:dyDescent="0.3">
      <c r="A158" s="18" t="s">
        <v>93</v>
      </c>
      <c r="B158" t="s">
        <v>231</v>
      </c>
      <c r="C158" t="s">
        <v>2537</v>
      </c>
      <c r="D158" s="14" t="s">
        <v>2570</v>
      </c>
      <c r="E15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san_francisco.html</v>
      </c>
      <c r="F15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Que veinte años no es nada"&gt;&lt;a href="canciones/revolver/san_francisco.html"&gt;San Francisco&lt;/a&gt;&lt;/li&gt;</v>
      </c>
    </row>
    <row r="159" spans="1:6" x14ac:dyDescent="0.3">
      <c r="A159" s="18" t="s">
        <v>94</v>
      </c>
      <c r="B159" t="s">
        <v>231</v>
      </c>
      <c r="C159" t="s">
        <v>2538</v>
      </c>
      <c r="D159" s="14" t="s">
        <v>2570</v>
      </c>
      <c r="E15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san_pedro.html</v>
      </c>
      <c r="F15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Capitol, Básico 3, Enjoy, Grandes éxitos, Que veinte años no es nada"&gt;&lt;a href="canciones/revolver/san_pedro.html"&gt;San Pedro&lt;/a&gt;&lt;/li&gt;</v>
      </c>
    </row>
    <row r="160" spans="1:6" x14ac:dyDescent="0.3">
      <c r="A160" s="18" t="s">
        <v>95</v>
      </c>
      <c r="B160" t="s">
        <v>231</v>
      </c>
      <c r="C160" t="s">
        <v>2548</v>
      </c>
      <c r="D160" s="14" t="s">
        <v>2570</v>
      </c>
      <c r="E16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santa_maria.html</v>
      </c>
      <c r="F16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Que veinte años no es nada"&gt;&lt;a href="canciones/revolver/santa_maria.html"&gt;Santa María&lt;/a&gt;&lt;/li&gt;</v>
      </c>
    </row>
    <row r="161" spans="1:6" x14ac:dyDescent="0.3">
      <c r="A161" s="18" t="s">
        <v>96</v>
      </c>
      <c r="B161" t="s">
        <v>231</v>
      </c>
      <c r="C161" t="s">
        <v>2539</v>
      </c>
      <c r="D161" s="14" t="s">
        <v>2570</v>
      </c>
      <c r="E16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sara.html</v>
      </c>
      <c r="F16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Básico 3, Que veinte años no es nada"&gt;&lt;a href="canciones/revolver/sara.html"&gt;Sara&lt;/a&gt;&lt;/li&gt;</v>
      </c>
    </row>
    <row r="162" spans="1:6" x14ac:dyDescent="0.3">
      <c r="A162" s="19" t="s">
        <v>2484</v>
      </c>
      <c r="B162" t="s">
        <v>231</v>
      </c>
      <c r="C162" t="s">
        <v>231</v>
      </c>
      <c r="D162" s="14"/>
      <c r="E16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ser_el_mejor.html</v>
      </c>
      <c r="F16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href="canciones/revolver/ser_el_mejor.html"&gt;Ser el mejor&lt;/a&gt;&lt;/li&gt;</v>
      </c>
    </row>
    <row r="163" spans="1:6" x14ac:dyDescent="0.3">
      <c r="A163" s="20" t="s">
        <v>97</v>
      </c>
      <c r="B163" t="s">
        <v>231</v>
      </c>
      <c r="C163" t="s">
        <v>2507</v>
      </c>
      <c r="D163" s="14" t="s">
        <v>2570</v>
      </c>
      <c r="E16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si_es_por_ti.html</v>
      </c>
      <c r="F16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IV"&gt;&lt;a href="canciones/revolver/si_es_por_ti.html"&gt;Si es por ti&lt;/a&gt;&lt;/li&gt;</v>
      </c>
    </row>
    <row r="164" spans="1:6" x14ac:dyDescent="0.3">
      <c r="A164" s="18" t="s">
        <v>98</v>
      </c>
      <c r="B164" t="s">
        <v>231</v>
      </c>
      <c r="C164" t="s">
        <v>2523</v>
      </c>
      <c r="D164" s="14" t="s">
        <v>2570</v>
      </c>
      <c r="E16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si_es_tan_solo_amor.html</v>
      </c>
      <c r="F16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Básico, Grandes éxitos, Que veinte años no es nada"&gt;&lt;a href="canciones/revolver/si_es_tan_solo_amor.html"&gt;Si es tan sólo amor&lt;/a&gt;&lt;/li&gt;</v>
      </c>
    </row>
    <row r="165" spans="1:6" x14ac:dyDescent="0.3">
      <c r="A165" s="18" t="s">
        <v>99</v>
      </c>
      <c r="B165" t="s">
        <v>231</v>
      </c>
      <c r="C165" t="s">
        <v>2515</v>
      </c>
      <c r="D165" s="14" t="s">
        <v>2570</v>
      </c>
      <c r="E16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si_no_hubiera_que_correr.html</v>
      </c>
      <c r="F16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Básico, Enjoy, Rarezas"&gt;&lt;a href="canciones/revolver/si_no_hubiera_que_correr.html"&gt;Si no hubiera que correr&lt;/a&gt;&lt;/li&gt;</v>
      </c>
    </row>
    <row r="166" spans="1:6" x14ac:dyDescent="0.3">
      <c r="A166" s="18" t="s">
        <v>100</v>
      </c>
      <c r="B166" t="s">
        <v>231</v>
      </c>
      <c r="C166" t="s">
        <v>2495</v>
      </c>
      <c r="D166" s="14" t="s">
        <v>2570</v>
      </c>
      <c r="E16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sin_barcelona.html</v>
      </c>
      <c r="F16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data-album="Capitol"&gt;&lt;a href="canciones/revolver/sin_barcelona.html"&gt;Sin Barcelona&lt;/a&gt;&lt;/li&gt;</v>
      </c>
    </row>
    <row r="167" spans="1:6" x14ac:dyDescent="0.3">
      <c r="A167" s="18" t="s">
        <v>101</v>
      </c>
      <c r="B167" t="s">
        <v>231</v>
      </c>
      <c r="C167" t="s">
        <v>2548</v>
      </c>
      <c r="D167" s="14" t="s">
        <v>2570</v>
      </c>
      <c r="E16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sol_de_invierno.html</v>
      </c>
      <c r="F16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Que veinte años no es nada"&gt;&lt;a href="canciones/revolver/sol_de_invierno.html"&gt;Sol de invierno&lt;/a&gt;&lt;/li&gt;</v>
      </c>
    </row>
    <row r="168" spans="1:6" x14ac:dyDescent="0.3">
      <c r="A168" s="18" t="s">
        <v>102</v>
      </c>
      <c r="B168" t="s">
        <v>231</v>
      </c>
      <c r="C168" t="s">
        <v>99</v>
      </c>
      <c r="D168" s="14" t="s">
        <v>2570</v>
      </c>
      <c r="E16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soy_como_soy.html</v>
      </c>
      <c r="F16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correr"&gt;&lt;a href="canciones/revolver/soy_como_soy.html"&gt;Soy como soy&lt;/a&gt;&lt;/li&gt;</v>
      </c>
    </row>
    <row r="169" spans="1:6" x14ac:dyDescent="0.3">
      <c r="A169" s="19" t="s">
        <v>2145</v>
      </c>
      <c r="B169" t="s">
        <v>2592</v>
      </c>
      <c r="C169" t="s">
        <v>2561</v>
      </c>
      <c r="D169" s="14"/>
      <c r="E16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te_he_prometido.html</v>
      </c>
      <c r="F16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Leo Dan" data-album="Playlist"&gt;&lt;a href="canciones/revolver/te_he_prometido.html"&gt;Te he prometido&lt;/a&gt;&lt;/li&gt;</v>
      </c>
    </row>
    <row r="170" spans="1:6" x14ac:dyDescent="0.3">
      <c r="A170" s="18" t="s">
        <v>103</v>
      </c>
      <c r="B170" t="s">
        <v>231</v>
      </c>
      <c r="C170" t="s">
        <v>231</v>
      </c>
      <c r="D170" s="14" t="s">
        <v>2570</v>
      </c>
      <c r="E17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te_quiero.html</v>
      </c>
      <c r="F17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href="canciones/revolver/te_quiero.html"&gt;Te quiero&lt;/a&gt;&lt;/li&gt;</v>
      </c>
    </row>
    <row r="171" spans="1:6" x14ac:dyDescent="0.3">
      <c r="A171" s="18" t="s">
        <v>104</v>
      </c>
      <c r="B171" t="s">
        <v>231</v>
      </c>
      <c r="C171" t="s">
        <v>5</v>
      </c>
      <c r="D171" s="14" t="s">
        <v>2570</v>
      </c>
      <c r="E17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teamotemor.html</v>
      </c>
      <c r="F17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href="canciones/revolver/teamotemor.html"&gt;Teamotemor&lt;/a&gt;&lt;/li&gt;</v>
      </c>
    </row>
    <row r="172" spans="1:6" x14ac:dyDescent="0.3">
      <c r="A172" s="20" t="s">
        <v>105</v>
      </c>
      <c r="B172" t="s">
        <v>231</v>
      </c>
      <c r="C172" t="s">
        <v>2535</v>
      </c>
      <c r="D172" s="14" t="s">
        <v>2570</v>
      </c>
      <c r="E17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ten_fe_en_mi.html</v>
      </c>
      <c r="F17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Básico 3, Que veinte años no es nada"&gt;&lt;a href="canciones/revolver/ten_fe_en_mi.html"&gt;Ten fe en mí&lt;/a&gt;&lt;/li&gt;</v>
      </c>
    </row>
    <row r="173" spans="1:6" x14ac:dyDescent="0.3">
      <c r="A173" s="18" t="s">
        <v>106</v>
      </c>
      <c r="B173" t="s">
        <v>231</v>
      </c>
      <c r="C173" t="s">
        <v>231</v>
      </c>
      <c r="D173" s="14" t="s">
        <v>2570</v>
      </c>
      <c r="E17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tengo_mi_tiempo.html</v>
      </c>
      <c r="F17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data-album="Revólver"&gt;&lt;a href="canciones/revolver/tengo_mi_tiempo.html"&gt;Tengo mi tiempo&lt;/a&gt;&lt;/li&gt;</v>
      </c>
    </row>
    <row r="174" spans="1:6" x14ac:dyDescent="0.3">
      <c r="A174" s="18" t="s">
        <v>107</v>
      </c>
      <c r="B174" t="s">
        <v>231</v>
      </c>
      <c r="C174" t="s">
        <v>2547</v>
      </c>
      <c r="D174" s="14" t="s">
        <v>2570</v>
      </c>
      <c r="E17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tiempo_pequeño.html</v>
      </c>
      <c r="F17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Enjoy, Que veinte años no es nada"&gt;&lt;a href="canciones/revolver/tiempo_pequeño.html"&gt;Tiempo pequeño&lt;/a&gt;&lt;/li&gt;</v>
      </c>
    </row>
    <row r="175" spans="1:6" x14ac:dyDescent="0.3">
      <c r="A175" s="18" t="s">
        <v>108</v>
      </c>
      <c r="B175" t="s">
        <v>231</v>
      </c>
      <c r="C175" t="s">
        <v>2506</v>
      </c>
      <c r="D175" s="14" t="s">
        <v>2570</v>
      </c>
      <c r="E17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tierra_baldia.html</v>
      </c>
      <c r="F17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Enjoy"&gt;&lt;a href="canciones/revolver/tierra_baldia.html"&gt;Tierra baldía&lt;/a&gt;&lt;/li&gt;</v>
      </c>
    </row>
    <row r="176" spans="1:6" x14ac:dyDescent="0.3">
      <c r="A176" s="18" t="s">
        <v>1480</v>
      </c>
      <c r="B176" t="s">
        <v>231</v>
      </c>
      <c r="C176" t="s">
        <v>2550</v>
      </c>
      <c r="D176" s="14" t="s">
        <v>2570</v>
      </c>
      <c r="E17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todo_a_pulmon.html</v>
      </c>
      <c r="F17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href="canciones/revolver/todo_a_pulmon.html"&gt;Todo a pulmón&lt;/a&gt;&lt;/li&gt;</v>
      </c>
    </row>
    <row r="177" spans="1:6" x14ac:dyDescent="0.3">
      <c r="A177" s="18" t="s">
        <v>109</v>
      </c>
      <c r="B177" t="s">
        <v>231</v>
      </c>
      <c r="C177" t="s">
        <v>2502</v>
      </c>
      <c r="D177" s="14" t="s">
        <v>2570</v>
      </c>
      <c r="E17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todo_aquello_que_jamas_sere.html</v>
      </c>
      <c r="F17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3"&gt;&lt;a href="canciones/revolver/todo_aquello_que_jamas_sere.html"&gt;Todo aquello que jamás seré&lt;/a&gt;&lt;/li&gt;</v>
      </c>
    </row>
    <row r="178" spans="1:6" x14ac:dyDescent="0.3">
      <c r="A178" s="18" t="s">
        <v>110</v>
      </c>
      <c r="B178" t="s">
        <v>231</v>
      </c>
      <c r="C178" t="s">
        <v>5</v>
      </c>
      <c r="D178" s="14" t="s">
        <v>2570</v>
      </c>
      <c r="E17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todo_lo_que_no_se_llora_no_se_limpia.html</v>
      </c>
      <c r="F17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data-album="Babilonia"&gt;&lt;a href="canciones/revolver/todo_lo_que_no_se_llora_no_se_limpia.html"&gt;Todo lo que no se llora no se limpia&lt;/a&gt;&lt;/li&gt;</v>
      </c>
    </row>
    <row r="179" spans="1:6" x14ac:dyDescent="0.3">
      <c r="A179" s="18" t="s">
        <v>111</v>
      </c>
      <c r="B179" t="s">
        <v>231</v>
      </c>
      <c r="C179" t="s">
        <v>0</v>
      </c>
      <c r="D179" s="14" t="s">
        <v>2570</v>
      </c>
      <c r="E17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todos_somos_capitanes.html</v>
      </c>
      <c r="F17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gramos"&gt;&lt;a href="canciones/revolver/todos_somos_capitanes.html"&gt;Todos somos capitanes&lt;/a&gt;&lt;/li&gt;</v>
      </c>
    </row>
    <row r="180" spans="1:6" x14ac:dyDescent="0.3">
      <c r="A180" s="18" t="s">
        <v>1481</v>
      </c>
      <c r="B180" t="s">
        <v>231</v>
      </c>
      <c r="C180" t="s">
        <v>2550</v>
      </c>
      <c r="D180" s="14" t="s">
        <v>2570</v>
      </c>
      <c r="E18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tu_camino.html</v>
      </c>
      <c r="F18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data-album="Que veinte años no es nada"&gt;&lt;a href="canciones/revolver/tu_camino.html"&gt;Tu camino&lt;/a&gt;&lt;/li&gt;</v>
      </c>
    </row>
    <row r="181" spans="1:6" x14ac:dyDescent="0.3">
      <c r="A181" s="18" t="s">
        <v>112</v>
      </c>
      <c r="B181" t="s">
        <v>231</v>
      </c>
      <c r="C181" t="s">
        <v>2526</v>
      </c>
      <c r="D181" s="14" t="s">
        <v>2570</v>
      </c>
      <c r="E18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tu_cancion.html</v>
      </c>
      <c r="F18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data-album="Si no hubiera que correr, Básico, Rarezas, Que veinte años no es nada"&gt;&lt;a href="canciones/revolver/tu_cancion.html"&gt;Tu canción&lt;/a&gt;&lt;/li&gt;</v>
      </c>
    </row>
    <row r="182" spans="1:6" x14ac:dyDescent="0.3">
      <c r="A182" s="18" t="s">
        <v>113</v>
      </c>
      <c r="B182" t="s">
        <v>231</v>
      </c>
      <c r="C182" t="s">
        <v>2534</v>
      </c>
      <c r="D182" s="14" t="s">
        <v>2570</v>
      </c>
      <c r="E18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tu_lado_bueno.html</v>
      </c>
      <c r="F18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data-album="Calle Mayor, Que veinte años no es nada"&gt;&lt;a href="canciones/revolver/tu_lado_bueno.html"&gt;Tu lado bueno&lt;/a&gt;&lt;/li&gt;</v>
      </c>
    </row>
    <row r="183" spans="1:6" x14ac:dyDescent="0.3">
      <c r="A183" s="16" t="s">
        <v>114</v>
      </c>
      <c r="B183" t="s">
        <v>231</v>
      </c>
      <c r="C183" t="s">
        <v>2527</v>
      </c>
      <c r="D183" s="14" t="s">
        <v>2570</v>
      </c>
      <c r="E18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tu_noche_y_la_mia.html</v>
      </c>
      <c r="F18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data-album="Básico, Básico IV, Que veinte años no es nada"&gt;&lt;a href="canciones/revolver/tu_noche_y_la_mia.html"&gt;Tu noche y la mía&lt;/a&gt;&lt;/li&gt;</v>
      </c>
    </row>
    <row r="184" spans="1:6" x14ac:dyDescent="0.3">
      <c r="A184" s="16" t="s">
        <v>115</v>
      </c>
      <c r="B184" t="s">
        <v>231</v>
      </c>
      <c r="C184" t="s">
        <v>2557</v>
      </c>
      <c r="D184" s="14" t="s">
        <v>2570</v>
      </c>
      <c r="E184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tu_y_yo.html</v>
      </c>
      <c r="F184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data-album="El Dorado, Básico 2, Enjoy, Que veinte años no es nada"&gt;&lt;a href="canciones/revolver/tu_y_yo.html"&gt;Tú y yo&lt;/a&gt;&lt;/li&gt;</v>
      </c>
    </row>
    <row r="185" spans="1:6" x14ac:dyDescent="0.3">
      <c r="A185" s="16" t="s">
        <v>116</v>
      </c>
      <c r="B185" t="s">
        <v>231</v>
      </c>
      <c r="C185" t="s">
        <v>70</v>
      </c>
      <c r="D185" s="14" t="s">
        <v>2570</v>
      </c>
      <c r="E185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una_guerra_feliz.html</v>
      </c>
      <c r="F185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data-album="Mestizo"&gt;&lt;a href="canciones/revolver/una_guerra_feliz.html"&gt;Una guerra feliz&lt;/a&gt;&lt;/li&gt;</v>
      </c>
    </row>
    <row r="186" spans="1:6" x14ac:dyDescent="0.3">
      <c r="A186" s="16" t="s">
        <v>117</v>
      </c>
      <c r="B186" t="s">
        <v>231</v>
      </c>
      <c r="C186" t="s">
        <v>2500</v>
      </c>
      <c r="D186" s="14" t="s">
        <v>2570</v>
      </c>
      <c r="E186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una_lluvia_violenta_y_salvaje.html</v>
      </c>
      <c r="F186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data-album="Básico 2"&gt;&lt;a href="canciones/revolver/una_lluvia_violenta_y_salvaje.html"&gt;Una lluvia violenta y salvaje&lt;/a&gt;&lt;/li&gt;</v>
      </c>
    </row>
    <row r="187" spans="1:6" x14ac:dyDescent="0.3">
      <c r="A187" s="18" t="s">
        <v>118</v>
      </c>
      <c r="B187" t="s">
        <v>231</v>
      </c>
      <c r="C187" t="s">
        <v>2512</v>
      </c>
      <c r="D187" s="14" t="s">
        <v>2570</v>
      </c>
      <c r="E187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viaje_a_ninguna_parte.html</v>
      </c>
      <c r="F187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data-album="Sur, Básico IV"&gt;&lt;a href="canciones/revolver/viaje_a_ninguna_parte.html"&gt;Viaje a ninguna parte&lt;/a&gt;&lt;/li&gt;</v>
      </c>
    </row>
    <row r="188" spans="1:6" x14ac:dyDescent="0.3">
      <c r="A188" s="16" t="s">
        <v>119</v>
      </c>
      <c r="B188" t="s">
        <v>231</v>
      </c>
      <c r="C188" t="s">
        <v>2492</v>
      </c>
      <c r="D188" s="14" t="s">
        <v>2570</v>
      </c>
      <c r="E188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vidas.html</v>
      </c>
      <c r="F188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data-album="8.30 A.M."&gt;&lt;a href="canciones/revolver/vidas.html"&gt;Vidas&lt;/a&gt;&lt;/li&gt;</v>
      </c>
    </row>
    <row r="189" spans="1:6" x14ac:dyDescent="0.3">
      <c r="A189" s="10" t="s">
        <v>2568</v>
      </c>
      <c r="B189" t="s">
        <v>2590</v>
      </c>
      <c r="C189" t="s">
        <v>2561</v>
      </c>
      <c r="D189" s="14"/>
      <c r="E189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viento_de_cara.html</v>
      </c>
      <c r="F189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Supersubmarina" data-album="Playlist"&gt;&lt;a href="canciones/revolver/viento_de_cara.html"&gt;Viento de cara&lt;/a&gt;&lt;/li&gt;</v>
      </c>
    </row>
    <row r="190" spans="1:6" x14ac:dyDescent="0.3">
      <c r="A190" s="18" t="s">
        <v>1487</v>
      </c>
      <c r="B190" t="s">
        <v>2589</v>
      </c>
      <c r="C190" t="s">
        <v>2417</v>
      </c>
      <c r="D190" s="14" t="s">
        <v>2570</v>
      </c>
      <c r="E190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y_ahora_que_(mala_conciencia).html</v>
      </c>
      <c r="F190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data-author="Revólver, Mala Conciencia" data-album="Otros"&gt;&lt;a href="canciones/revolver/y_ahora_que_(mala_conciencia).html"&gt;Y ahora que (Mala Conciencia)&lt;/a&gt;&lt;/li&gt;</v>
      </c>
    </row>
    <row r="191" spans="1:6" x14ac:dyDescent="0.3">
      <c r="A191" s="18" t="s">
        <v>120</v>
      </c>
      <c r="B191" t="s">
        <v>231</v>
      </c>
      <c r="C191" t="s">
        <v>2494</v>
      </c>
      <c r="D191" s="14" t="s">
        <v>2570</v>
      </c>
      <c r="E191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y_del_hombre.html</v>
      </c>
      <c r="F191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href="canciones/revolver/y_del_hombre.html"&gt;Y del hombre&lt;/a&gt;&lt;/li&gt;</v>
      </c>
    </row>
    <row r="192" spans="1:6" x14ac:dyDescent="0.3">
      <c r="A192" s="18" t="s">
        <v>121</v>
      </c>
      <c r="B192" t="s">
        <v>231</v>
      </c>
      <c r="C192" t="s">
        <v>2549</v>
      </c>
      <c r="D192" s="14" t="s">
        <v>2570</v>
      </c>
      <c r="E192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y_pasa_el_tiempo.html</v>
      </c>
      <c r="F192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data-album="21 gramos, Básico IV, Que veinte años no es nada"&gt;&lt;a href="canciones/revolver/y_pasa_el_tiempo.html"&gt;Y pasa el tiempo&lt;/a&gt;&lt;/li&gt;</v>
      </c>
    </row>
    <row r="193" spans="1:6" x14ac:dyDescent="0.3">
      <c r="A193" s="18" t="s">
        <v>122</v>
      </c>
      <c r="B193" t="s">
        <v>231</v>
      </c>
      <c r="C193" t="s">
        <v>2494</v>
      </c>
      <c r="D193" s="14" t="s">
        <v>2570</v>
      </c>
      <c r="E193" t="str">
        <f>SUBSTITUTE(SUBSTITUTE(SUBSTITUTE(SUBSTITUTE(SUBSTITUTE(SUBSTITUTE(SUBSTITUTE(SUBSTITUTE(SUBSTITUTE(SUBSTITUTE(SUBSTITUTE(LOWER(Revólver[[#This Row],[Título]]),"á","a"),"é","e"),"í","i"),"ó","o"),"ú","u")," ","_"),"¿",""),"?",""),"¡",""),"!",""),",","")&amp;".html"</f>
        <v>ya_no_hay_dos_para_cenar.html</v>
      </c>
      <c r="F193" t="str">
        <f>"&lt;li data-author="""&amp;Revólver[[#This Row],[Autor]]&amp;""" data-album="""&amp;Revólver[[#This Row],[Álbum]]&amp;"""&gt;&lt;a href=""canciones/"&amp;"revolver"&amp;"/"&amp;Revólver[[#This Row],[ruta]]&amp;"""&gt;"&amp;Revólver[[#This Row],[Título]]&amp;"&lt;/a&gt;&lt;/li&gt;"</f>
        <v>&lt;li data-author="Revólver" data-album="Argán"&gt;&lt;a href="canciones/revolver/ya_no_hay_dos_para_cenar.html"&gt;Ya no hay dos para cenar&lt;/a&gt;&lt;/li&gt;</v>
      </c>
    </row>
  </sheetData>
  <conditionalFormatting sqref="D1:D1048576">
    <cfRule type="containsText" dxfId="2" priority="2" operator="containsText" text="OK">
      <formula>NOT(ISERROR(SEARCH("OK",D1)))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6399-5E10-46B9-A253-CE3A3D2CA5CC}">
  <dimension ref="A1:F1138"/>
  <sheetViews>
    <sheetView workbookViewId="0">
      <selection activeCell="H2" sqref="H2"/>
    </sheetView>
  </sheetViews>
  <sheetFormatPr baseColWidth="10" defaultRowHeight="14.4" x14ac:dyDescent="0.3"/>
  <cols>
    <col min="1" max="1" width="53.88671875" bestFit="1" customWidth="1"/>
  </cols>
  <sheetData>
    <row r="1" spans="1:6" x14ac:dyDescent="0.3">
      <c r="A1" t="s">
        <v>2657</v>
      </c>
      <c r="B1" t="s">
        <v>2658</v>
      </c>
      <c r="C1" t="s">
        <v>2659</v>
      </c>
      <c r="D1" t="s">
        <v>2767</v>
      </c>
    </row>
    <row r="2" spans="1:6" x14ac:dyDescent="0.3">
      <c r="A2" t="s">
        <v>2768</v>
      </c>
      <c r="B2">
        <v>1997</v>
      </c>
      <c r="C2">
        <v>1997</v>
      </c>
      <c r="D2" t="str">
        <f>_xlfn.TEXTBEFORE(Tabla5[[#This Row],[archivo]],"/")</f>
        <v>amaral</v>
      </c>
      <c r="F2" t="str" cm="1">
        <f t="array" ref="F2:F14">_xlfn.UNIQUE(Tabla5[carpeta])</f>
        <v>amaral</v>
      </c>
    </row>
    <row r="3" spans="1:6" x14ac:dyDescent="0.3">
      <c r="A3" t="s">
        <v>2769</v>
      </c>
      <c r="B3" t="s">
        <v>233</v>
      </c>
      <c r="C3" t="s">
        <v>233</v>
      </c>
      <c r="D3" t="str">
        <f>_xlfn.TEXTBEFORE(Tabla5[[#This Row],[archivo]],"/")</f>
        <v>amaral</v>
      </c>
      <c r="F3" t="str">
        <v>andres_suarez</v>
      </c>
    </row>
    <row r="4" spans="1:6" x14ac:dyDescent="0.3">
      <c r="A4" t="s">
        <v>2770</v>
      </c>
      <c r="B4" t="s">
        <v>235</v>
      </c>
      <c r="C4" t="s">
        <v>235</v>
      </c>
      <c r="D4" t="str">
        <f>_xlfn.TEXTBEFORE(Tabla5[[#This Row],[archivo]],"/")</f>
        <v>amaral</v>
      </c>
      <c r="F4" t="str">
        <v>ella_baila_sola</v>
      </c>
    </row>
    <row r="5" spans="1:6" x14ac:dyDescent="0.3">
      <c r="A5" t="s">
        <v>2771</v>
      </c>
      <c r="B5" t="s">
        <v>234</v>
      </c>
      <c r="C5" t="s">
        <v>234</v>
      </c>
      <c r="D5" t="str">
        <f>_xlfn.TEXTBEFORE(Tabla5[[#This Row],[archivo]],"/")</f>
        <v>amaral</v>
      </c>
      <c r="F5" t="str">
        <v>el_canto_del_loco</v>
      </c>
    </row>
    <row r="6" spans="1:6" x14ac:dyDescent="0.3">
      <c r="A6" t="s">
        <v>2772</v>
      </c>
      <c r="B6" t="s">
        <v>236</v>
      </c>
      <c r="C6" t="s">
        <v>236</v>
      </c>
      <c r="D6" t="str">
        <f>_xlfn.TEXTBEFORE(Tabla5[[#This Row],[archivo]],"/")</f>
        <v>amaral</v>
      </c>
      <c r="F6" t="str">
        <v>el_kanka</v>
      </c>
    </row>
    <row r="7" spans="1:6" x14ac:dyDescent="0.3">
      <c r="A7" t="s">
        <v>2773</v>
      </c>
      <c r="B7" t="s">
        <v>237</v>
      </c>
      <c r="C7" t="s">
        <v>237</v>
      </c>
      <c r="D7" t="str">
        <f>_xlfn.TEXTBEFORE(Tabla5[[#This Row],[archivo]],"/")</f>
        <v>amaral</v>
      </c>
      <c r="F7" t="str">
        <v>joaquin_sabina</v>
      </c>
    </row>
    <row r="8" spans="1:6" x14ac:dyDescent="0.3">
      <c r="A8" t="s">
        <v>2774</v>
      </c>
      <c r="B8" t="s">
        <v>597</v>
      </c>
      <c r="C8" t="s">
        <v>597</v>
      </c>
      <c r="D8" t="str">
        <f>_xlfn.TEXTBEFORE(Tabla5[[#This Row],[archivo]],"/")</f>
        <v>amaral</v>
      </c>
      <c r="F8" t="str">
        <v>leiva</v>
      </c>
    </row>
    <row r="9" spans="1:6" x14ac:dyDescent="0.3">
      <c r="A9" t="s">
        <v>2775</v>
      </c>
      <c r="B9" t="s">
        <v>238</v>
      </c>
      <c r="C9" t="s">
        <v>238</v>
      </c>
      <c r="D9" t="str">
        <f>_xlfn.TEXTBEFORE(Tabla5[[#This Row],[archivo]],"/")</f>
        <v>amaral</v>
      </c>
      <c r="F9" t="str">
        <v>lovg</v>
      </c>
    </row>
    <row r="10" spans="1:6" x14ac:dyDescent="0.3">
      <c r="A10" t="s">
        <v>2776</v>
      </c>
      <c r="B10" t="s">
        <v>239</v>
      </c>
      <c r="C10" t="s">
        <v>239</v>
      </c>
      <c r="D10" t="str">
        <f>_xlfn.TEXTBEFORE(Tabla5[[#This Row],[archivo]],"/")</f>
        <v>amaral</v>
      </c>
      <c r="F10" t="str">
        <v>marea</v>
      </c>
    </row>
    <row r="11" spans="1:6" x14ac:dyDescent="0.3">
      <c r="A11" t="s">
        <v>2777</v>
      </c>
      <c r="B11" t="s">
        <v>240</v>
      </c>
      <c r="C11" t="s">
        <v>240</v>
      </c>
      <c r="D11" t="str">
        <f>_xlfn.TEXTBEFORE(Tabla5[[#This Row],[archivo]],"/")</f>
        <v>amaral</v>
      </c>
      <c r="F11" t="str">
        <v>otros</v>
      </c>
    </row>
    <row r="12" spans="1:6" x14ac:dyDescent="0.3">
      <c r="A12" t="s">
        <v>2778</v>
      </c>
      <c r="B12" t="s">
        <v>241</v>
      </c>
      <c r="C12" t="s">
        <v>241</v>
      </c>
      <c r="D12" t="str">
        <f>_xlfn.TEXTBEFORE(Tabla5[[#This Row],[archivo]],"/")</f>
        <v>amaral</v>
      </c>
      <c r="F12" t="str">
        <v>pereza</v>
      </c>
    </row>
    <row r="13" spans="1:6" x14ac:dyDescent="0.3">
      <c r="A13" t="s">
        <v>2779</v>
      </c>
      <c r="B13" t="s">
        <v>242</v>
      </c>
      <c r="C13" t="s">
        <v>242</v>
      </c>
      <c r="D13" t="str">
        <f>_xlfn.TEXTBEFORE(Tabla5[[#This Row],[archivo]],"/")</f>
        <v>amaral</v>
      </c>
      <c r="F13" t="str">
        <v>revolver</v>
      </c>
    </row>
    <row r="14" spans="1:6" x14ac:dyDescent="0.3">
      <c r="A14" t="s">
        <v>2780</v>
      </c>
      <c r="B14" t="s">
        <v>243</v>
      </c>
      <c r="C14" t="s">
        <v>243</v>
      </c>
      <c r="D14" t="str">
        <f>_xlfn.TEXTBEFORE(Tabla5[[#This Row],[archivo]],"/")</f>
        <v>amaral</v>
      </c>
      <c r="F14" t="str">
        <v>sidecars</v>
      </c>
    </row>
    <row r="15" spans="1:6" x14ac:dyDescent="0.3">
      <c r="A15" t="s">
        <v>2781</v>
      </c>
      <c r="B15" t="s">
        <v>244</v>
      </c>
      <c r="C15" t="s">
        <v>244</v>
      </c>
      <c r="D15" t="str">
        <f>_xlfn.TEXTBEFORE(Tabla5[[#This Row],[archivo]],"/")</f>
        <v>amaral</v>
      </c>
    </row>
    <row r="16" spans="1:6" x14ac:dyDescent="0.3">
      <c r="A16" t="s">
        <v>2782</v>
      </c>
      <c r="B16" t="s">
        <v>245</v>
      </c>
      <c r="C16" t="s">
        <v>245</v>
      </c>
      <c r="D16" t="str">
        <f>_xlfn.TEXTBEFORE(Tabla5[[#This Row],[archivo]],"/")</f>
        <v>amaral</v>
      </c>
    </row>
    <row r="17" spans="1:4" x14ac:dyDescent="0.3">
      <c r="A17" t="s">
        <v>2783</v>
      </c>
      <c r="B17" t="s">
        <v>246</v>
      </c>
      <c r="C17" t="s">
        <v>246</v>
      </c>
      <c r="D17" t="str">
        <f>_xlfn.TEXTBEFORE(Tabla5[[#This Row],[archivo]],"/")</f>
        <v>amaral</v>
      </c>
    </row>
    <row r="18" spans="1:4" x14ac:dyDescent="0.3">
      <c r="A18" t="s">
        <v>2784</v>
      </c>
      <c r="B18" t="s">
        <v>247</v>
      </c>
      <c r="C18" t="s">
        <v>247</v>
      </c>
      <c r="D18" t="str">
        <f>_xlfn.TEXTBEFORE(Tabla5[[#This Row],[archivo]],"/")</f>
        <v>amaral</v>
      </c>
    </row>
    <row r="19" spans="1:4" x14ac:dyDescent="0.3">
      <c r="A19" t="s">
        <v>2785</v>
      </c>
      <c r="B19" t="s">
        <v>248</v>
      </c>
      <c r="C19" t="s">
        <v>248</v>
      </c>
      <c r="D19" t="str">
        <f>_xlfn.TEXTBEFORE(Tabla5[[#This Row],[archivo]],"/")</f>
        <v>amaral</v>
      </c>
    </row>
    <row r="20" spans="1:4" x14ac:dyDescent="0.3">
      <c r="A20" t="s">
        <v>2786</v>
      </c>
      <c r="B20" t="s">
        <v>251</v>
      </c>
      <c r="C20" t="s">
        <v>251</v>
      </c>
      <c r="D20" t="str">
        <f>_xlfn.TEXTBEFORE(Tabla5[[#This Row],[archivo]],"/")</f>
        <v>amaral</v>
      </c>
    </row>
    <row r="21" spans="1:4" x14ac:dyDescent="0.3">
      <c r="A21" t="s">
        <v>2787</v>
      </c>
      <c r="B21" t="s">
        <v>249</v>
      </c>
      <c r="C21" t="s">
        <v>249</v>
      </c>
      <c r="D21" t="str">
        <f>_xlfn.TEXTBEFORE(Tabla5[[#This Row],[archivo]],"/")</f>
        <v>amaral</v>
      </c>
    </row>
    <row r="22" spans="1:4" x14ac:dyDescent="0.3">
      <c r="A22" t="s">
        <v>2788</v>
      </c>
      <c r="B22" t="s">
        <v>250</v>
      </c>
      <c r="C22" t="s">
        <v>250</v>
      </c>
      <c r="D22" t="str">
        <f>_xlfn.TEXTBEFORE(Tabla5[[#This Row],[archivo]],"/")</f>
        <v>amaral</v>
      </c>
    </row>
    <row r="23" spans="1:4" x14ac:dyDescent="0.3">
      <c r="A23" t="s">
        <v>2789</v>
      </c>
      <c r="B23" t="s">
        <v>252</v>
      </c>
      <c r="C23" t="s">
        <v>252</v>
      </c>
      <c r="D23" t="str">
        <f>_xlfn.TEXTBEFORE(Tabla5[[#This Row],[archivo]],"/")</f>
        <v>amaral</v>
      </c>
    </row>
    <row r="24" spans="1:4" x14ac:dyDescent="0.3">
      <c r="A24" t="s">
        <v>2790</v>
      </c>
      <c r="B24" t="s">
        <v>253</v>
      </c>
      <c r="C24" t="s">
        <v>253</v>
      </c>
      <c r="D24" t="str">
        <f>_xlfn.TEXTBEFORE(Tabla5[[#This Row],[archivo]],"/")</f>
        <v>amaral</v>
      </c>
    </row>
    <row r="25" spans="1:4" x14ac:dyDescent="0.3">
      <c r="A25" t="s">
        <v>2791</v>
      </c>
      <c r="B25" t="s">
        <v>254</v>
      </c>
      <c r="C25" t="s">
        <v>254</v>
      </c>
      <c r="D25" t="str">
        <f>_xlfn.TEXTBEFORE(Tabla5[[#This Row],[archivo]],"/")</f>
        <v>amaral</v>
      </c>
    </row>
    <row r="26" spans="1:4" x14ac:dyDescent="0.3">
      <c r="A26" t="s">
        <v>2792</v>
      </c>
      <c r="B26" t="s">
        <v>255</v>
      </c>
      <c r="C26" t="s">
        <v>255</v>
      </c>
      <c r="D26" t="str">
        <f>_xlfn.TEXTBEFORE(Tabla5[[#This Row],[archivo]],"/")</f>
        <v>amaral</v>
      </c>
    </row>
    <row r="27" spans="1:4" x14ac:dyDescent="0.3">
      <c r="A27" t="s">
        <v>2793</v>
      </c>
      <c r="B27" t="s">
        <v>256</v>
      </c>
      <c r="C27" t="s">
        <v>256</v>
      </c>
      <c r="D27" t="str">
        <f>_xlfn.TEXTBEFORE(Tabla5[[#This Row],[archivo]],"/")</f>
        <v>amaral</v>
      </c>
    </row>
    <row r="28" spans="1:4" x14ac:dyDescent="0.3">
      <c r="A28" t="s">
        <v>2794</v>
      </c>
      <c r="B28" t="s">
        <v>257</v>
      </c>
      <c r="C28" t="s">
        <v>257</v>
      </c>
      <c r="D28" t="str">
        <f>_xlfn.TEXTBEFORE(Tabla5[[#This Row],[archivo]],"/")</f>
        <v>amaral</v>
      </c>
    </row>
    <row r="29" spans="1:4" x14ac:dyDescent="0.3">
      <c r="A29" t="s">
        <v>2795</v>
      </c>
      <c r="B29" t="s">
        <v>258</v>
      </c>
      <c r="C29" t="s">
        <v>258</v>
      </c>
      <c r="D29" t="str">
        <f>_xlfn.TEXTBEFORE(Tabla5[[#This Row],[archivo]],"/")</f>
        <v>amaral</v>
      </c>
    </row>
    <row r="30" spans="1:4" x14ac:dyDescent="0.3">
      <c r="A30" t="s">
        <v>2796</v>
      </c>
      <c r="B30" t="s">
        <v>259</v>
      </c>
      <c r="C30" t="s">
        <v>259</v>
      </c>
      <c r="D30" t="str">
        <f>_xlfn.TEXTBEFORE(Tabla5[[#This Row],[archivo]],"/")</f>
        <v>amaral</v>
      </c>
    </row>
    <row r="31" spans="1:4" x14ac:dyDescent="0.3">
      <c r="A31" t="s">
        <v>2797</v>
      </c>
      <c r="B31" t="s">
        <v>260</v>
      </c>
      <c r="C31" t="s">
        <v>260</v>
      </c>
      <c r="D31" t="str">
        <f>_xlfn.TEXTBEFORE(Tabla5[[#This Row],[archivo]],"/")</f>
        <v>amaral</v>
      </c>
    </row>
    <row r="32" spans="1:4" x14ac:dyDescent="0.3">
      <c r="A32" t="s">
        <v>2798</v>
      </c>
      <c r="B32" t="s">
        <v>264</v>
      </c>
      <c r="C32" t="s">
        <v>264</v>
      </c>
      <c r="D32" t="str">
        <f>_xlfn.TEXTBEFORE(Tabla5[[#This Row],[archivo]],"/")</f>
        <v>amaral</v>
      </c>
    </row>
    <row r="33" spans="1:4" x14ac:dyDescent="0.3">
      <c r="A33" t="s">
        <v>2799</v>
      </c>
      <c r="B33" t="s">
        <v>603</v>
      </c>
      <c r="C33" t="s">
        <v>603</v>
      </c>
      <c r="D33" t="str">
        <f>_xlfn.TEXTBEFORE(Tabla5[[#This Row],[archivo]],"/")</f>
        <v>amaral</v>
      </c>
    </row>
    <row r="34" spans="1:4" x14ac:dyDescent="0.3">
      <c r="A34" t="s">
        <v>2800</v>
      </c>
      <c r="B34" t="s">
        <v>261</v>
      </c>
      <c r="C34" t="s">
        <v>261</v>
      </c>
      <c r="D34" t="str">
        <f>_xlfn.TEXTBEFORE(Tabla5[[#This Row],[archivo]],"/")</f>
        <v>amaral</v>
      </c>
    </row>
    <row r="35" spans="1:4" x14ac:dyDescent="0.3">
      <c r="A35" t="s">
        <v>2801</v>
      </c>
      <c r="B35" t="s">
        <v>262</v>
      </c>
      <c r="C35" t="s">
        <v>262</v>
      </c>
      <c r="D35" t="str">
        <f>_xlfn.TEXTBEFORE(Tabla5[[#This Row],[archivo]],"/")</f>
        <v>amaral</v>
      </c>
    </row>
    <row r="36" spans="1:4" x14ac:dyDescent="0.3">
      <c r="A36" t="s">
        <v>2802</v>
      </c>
      <c r="B36" t="s">
        <v>263</v>
      </c>
      <c r="C36" t="s">
        <v>263</v>
      </c>
      <c r="D36" t="str">
        <f>_xlfn.TEXTBEFORE(Tabla5[[#This Row],[archivo]],"/")</f>
        <v>amaral</v>
      </c>
    </row>
    <row r="37" spans="1:4" x14ac:dyDescent="0.3">
      <c r="A37" t="s">
        <v>2803</v>
      </c>
      <c r="B37" t="s">
        <v>148</v>
      </c>
      <c r="C37" t="s">
        <v>148</v>
      </c>
      <c r="D37" t="str">
        <f>_xlfn.TEXTBEFORE(Tabla5[[#This Row],[archivo]],"/")</f>
        <v>amaral</v>
      </c>
    </row>
    <row r="38" spans="1:4" x14ac:dyDescent="0.3">
      <c r="A38" t="s">
        <v>2804</v>
      </c>
      <c r="B38" t="s">
        <v>2660</v>
      </c>
      <c r="C38" t="s">
        <v>2660</v>
      </c>
      <c r="D38" t="str">
        <f>_xlfn.TEXTBEFORE(Tabla5[[#This Row],[archivo]],"/")</f>
        <v>amaral</v>
      </c>
    </row>
    <row r="39" spans="1:4" x14ac:dyDescent="0.3">
      <c r="A39" t="s">
        <v>2805</v>
      </c>
      <c r="B39" t="s">
        <v>267</v>
      </c>
      <c r="C39" t="s">
        <v>267</v>
      </c>
      <c r="D39" t="str">
        <f>_xlfn.TEXTBEFORE(Tabla5[[#This Row],[archivo]],"/")</f>
        <v>amaral</v>
      </c>
    </row>
    <row r="40" spans="1:4" x14ac:dyDescent="0.3">
      <c r="A40" t="s">
        <v>2806</v>
      </c>
      <c r="B40" t="s">
        <v>268</v>
      </c>
      <c r="C40" t="s">
        <v>268</v>
      </c>
      <c r="D40" t="str">
        <f>_xlfn.TEXTBEFORE(Tabla5[[#This Row],[archivo]],"/")</f>
        <v>amaral</v>
      </c>
    </row>
    <row r="41" spans="1:4" x14ac:dyDescent="0.3">
      <c r="A41" t="s">
        <v>2807</v>
      </c>
      <c r="B41" t="s">
        <v>269</v>
      </c>
      <c r="C41" t="s">
        <v>269</v>
      </c>
      <c r="D41" t="str">
        <f>_xlfn.TEXTBEFORE(Tabla5[[#This Row],[archivo]],"/")</f>
        <v>amaral</v>
      </c>
    </row>
    <row r="42" spans="1:4" x14ac:dyDescent="0.3">
      <c r="A42" t="s">
        <v>2808</v>
      </c>
      <c r="B42" t="s">
        <v>265</v>
      </c>
      <c r="C42" t="s">
        <v>265</v>
      </c>
      <c r="D42" t="str">
        <f>_xlfn.TEXTBEFORE(Tabla5[[#This Row],[archivo]],"/")</f>
        <v>amaral</v>
      </c>
    </row>
    <row r="43" spans="1:4" x14ac:dyDescent="0.3">
      <c r="A43" t="s">
        <v>2809</v>
      </c>
      <c r="B43" t="s">
        <v>270</v>
      </c>
      <c r="C43" t="s">
        <v>270</v>
      </c>
      <c r="D43" t="str">
        <f>_xlfn.TEXTBEFORE(Tabla5[[#This Row],[archivo]],"/")</f>
        <v>amaral</v>
      </c>
    </row>
    <row r="44" spans="1:4" x14ac:dyDescent="0.3">
      <c r="A44" t="s">
        <v>2810</v>
      </c>
      <c r="B44" t="s">
        <v>2661</v>
      </c>
      <c r="C44" t="s">
        <v>2661</v>
      </c>
      <c r="D44" t="str">
        <f>_xlfn.TEXTBEFORE(Tabla5[[#This Row],[archivo]],"/")</f>
        <v>amaral</v>
      </c>
    </row>
    <row r="45" spans="1:4" x14ac:dyDescent="0.3">
      <c r="A45" t="s">
        <v>2811</v>
      </c>
      <c r="B45" t="s">
        <v>272</v>
      </c>
      <c r="C45" t="s">
        <v>272</v>
      </c>
      <c r="D45" t="str">
        <f>_xlfn.TEXTBEFORE(Tabla5[[#This Row],[archivo]],"/")</f>
        <v>amaral</v>
      </c>
    </row>
    <row r="46" spans="1:4" x14ac:dyDescent="0.3">
      <c r="A46" t="s">
        <v>2812</v>
      </c>
      <c r="B46" t="s">
        <v>604</v>
      </c>
      <c r="C46" t="s">
        <v>604</v>
      </c>
      <c r="D46" t="str">
        <f>_xlfn.TEXTBEFORE(Tabla5[[#This Row],[archivo]],"/")</f>
        <v>amaral</v>
      </c>
    </row>
    <row r="47" spans="1:4" x14ac:dyDescent="0.3">
      <c r="A47" t="s">
        <v>2813</v>
      </c>
      <c r="B47" t="s">
        <v>2662</v>
      </c>
      <c r="C47" t="s">
        <v>2662</v>
      </c>
      <c r="D47" t="str">
        <f>_xlfn.TEXTBEFORE(Tabla5[[#This Row],[archivo]],"/")</f>
        <v>amaral</v>
      </c>
    </row>
    <row r="48" spans="1:4" x14ac:dyDescent="0.3">
      <c r="A48" t="s">
        <v>2814</v>
      </c>
      <c r="B48" t="s">
        <v>600</v>
      </c>
      <c r="C48" t="s">
        <v>600</v>
      </c>
      <c r="D48" t="str">
        <f>_xlfn.TEXTBEFORE(Tabla5[[#This Row],[archivo]],"/")</f>
        <v>amaral</v>
      </c>
    </row>
    <row r="49" spans="1:4" x14ac:dyDescent="0.3">
      <c r="A49" t="s">
        <v>2815</v>
      </c>
      <c r="B49" t="s">
        <v>274</v>
      </c>
      <c r="C49" t="s">
        <v>274</v>
      </c>
      <c r="D49" t="str">
        <f>_xlfn.TEXTBEFORE(Tabla5[[#This Row],[archivo]],"/")</f>
        <v>amaral</v>
      </c>
    </row>
    <row r="50" spans="1:4" x14ac:dyDescent="0.3">
      <c r="A50" t="s">
        <v>2816</v>
      </c>
      <c r="B50" t="s">
        <v>278</v>
      </c>
      <c r="C50" t="s">
        <v>278</v>
      </c>
      <c r="D50" t="str">
        <f>_xlfn.TEXTBEFORE(Tabla5[[#This Row],[archivo]],"/")</f>
        <v>amaral</v>
      </c>
    </row>
    <row r="51" spans="1:4" x14ac:dyDescent="0.3">
      <c r="A51" t="s">
        <v>2817</v>
      </c>
      <c r="B51" t="s">
        <v>279</v>
      </c>
      <c r="C51" t="s">
        <v>279</v>
      </c>
      <c r="D51" t="str">
        <f>_xlfn.TEXTBEFORE(Tabla5[[#This Row],[archivo]],"/")</f>
        <v>amaral</v>
      </c>
    </row>
    <row r="52" spans="1:4" x14ac:dyDescent="0.3">
      <c r="A52" t="s">
        <v>2818</v>
      </c>
      <c r="B52" t="s">
        <v>280</v>
      </c>
      <c r="C52" t="s">
        <v>280</v>
      </c>
      <c r="D52" t="str">
        <f>_xlfn.TEXTBEFORE(Tabla5[[#This Row],[archivo]],"/")</f>
        <v>amaral</v>
      </c>
    </row>
    <row r="53" spans="1:4" x14ac:dyDescent="0.3">
      <c r="A53" t="s">
        <v>2819</v>
      </c>
      <c r="B53" t="s">
        <v>275</v>
      </c>
      <c r="C53" t="s">
        <v>275</v>
      </c>
      <c r="D53" t="str">
        <f>_xlfn.TEXTBEFORE(Tabla5[[#This Row],[archivo]],"/")</f>
        <v>amaral</v>
      </c>
    </row>
    <row r="54" spans="1:4" x14ac:dyDescent="0.3">
      <c r="A54" t="s">
        <v>2820</v>
      </c>
      <c r="B54" t="s">
        <v>276</v>
      </c>
      <c r="C54" t="s">
        <v>276</v>
      </c>
      <c r="D54" t="str">
        <f>_xlfn.TEXTBEFORE(Tabla5[[#This Row],[archivo]],"/")</f>
        <v>amaral</v>
      </c>
    </row>
    <row r="55" spans="1:4" x14ac:dyDescent="0.3">
      <c r="A55" t="s">
        <v>2821</v>
      </c>
      <c r="B55" t="s">
        <v>277</v>
      </c>
      <c r="C55" t="s">
        <v>277</v>
      </c>
      <c r="D55" t="str">
        <f>_xlfn.TEXTBEFORE(Tabla5[[#This Row],[archivo]],"/")</f>
        <v>amaral</v>
      </c>
    </row>
    <row r="56" spans="1:4" x14ac:dyDescent="0.3">
      <c r="A56" t="s">
        <v>2822</v>
      </c>
      <c r="B56" t="s">
        <v>281</v>
      </c>
      <c r="C56" t="s">
        <v>281</v>
      </c>
      <c r="D56" t="str">
        <f>_xlfn.TEXTBEFORE(Tabla5[[#This Row],[archivo]],"/")</f>
        <v>amaral</v>
      </c>
    </row>
    <row r="57" spans="1:4" x14ac:dyDescent="0.3">
      <c r="A57" t="s">
        <v>2823</v>
      </c>
      <c r="B57" t="s">
        <v>602</v>
      </c>
      <c r="C57" t="s">
        <v>602</v>
      </c>
      <c r="D57" t="str">
        <f>_xlfn.TEXTBEFORE(Tabla5[[#This Row],[archivo]],"/")</f>
        <v>amaral</v>
      </c>
    </row>
    <row r="58" spans="1:4" x14ac:dyDescent="0.3">
      <c r="A58" t="s">
        <v>2824</v>
      </c>
      <c r="B58" t="s">
        <v>282</v>
      </c>
      <c r="C58" t="s">
        <v>282</v>
      </c>
      <c r="D58" t="str">
        <f>_xlfn.TEXTBEFORE(Tabla5[[#This Row],[archivo]],"/")</f>
        <v>amaral</v>
      </c>
    </row>
    <row r="59" spans="1:4" x14ac:dyDescent="0.3">
      <c r="A59" t="s">
        <v>2825</v>
      </c>
      <c r="B59" t="s">
        <v>283</v>
      </c>
      <c r="C59" t="s">
        <v>283</v>
      </c>
      <c r="D59" t="str">
        <f>_xlfn.TEXTBEFORE(Tabla5[[#This Row],[archivo]],"/")</f>
        <v>amaral</v>
      </c>
    </row>
    <row r="60" spans="1:4" x14ac:dyDescent="0.3">
      <c r="A60" t="s">
        <v>2826</v>
      </c>
      <c r="B60" t="s">
        <v>2663</v>
      </c>
      <c r="C60" t="s">
        <v>2663</v>
      </c>
      <c r="D60" t="str">
        <f>_xlfn.TEXTBEFORE(Tabla5[[#This Row],[archivo]],"/")</f>
        <v>amaral</v>
      </c>
    </row>
    <row r="61" spans="1:4" x14ac:dyDescent="0.3">
      <c r="A61" t="s">
        <v>2827</v>
      </c>
      <c r="B61" t="s">
        <v>594</v>
      </c>
      <c r="C61" t="s">
        <v>594</v>
      </c>
      <c r="D61" t="str">
        <f>_xlfn.TEXTBEFORE(Tabla5[[#This Row],[archivo]],"/")</f>
        <v>amaral</v>
      </c>
    </row>
    <row r="62" spans="1:4" x14ac:dyDescent="0.3">
      <c r="A62" t="s">
        <v>2828</v>
      </c>
      <c r="B62" t="s">
        <v>285</v>
      </c>
      <c r="C62" t="s">
        <v>285</v>
      </c>
      <c r="D62" t="str">
        <f>_xlfn.TEXTBEFORE(Tabla5[[#This Row],[archivo]],"/")</f>
        <v>amaral</v>
      </c>
    </row>
    <row r="63" spans="1:4" x14ac:dyDescent="0.3">
      <c r="A63" t="s">
        <v>2829</v>
      </c>
      <c r="B63" t="s">
        <v>2664</v>
      </c>
      <c r="C63" t="s">
        <v>2664</v>
      </c>
      <c r="D63" t="str">
        <f>_xlfn.TEXTBEFORE(Tabla5[[#This Row],[archivo]],"/")</f>
        <v>amaral</v>
      </c>
    </row>
    <row r="64" spans="1:4" x14ac:dyDescent="0.3">
      <c r="A64" t="s">
        <v>2830</v>
      </c>
      <c r="B64" t="s">
        <v>287</v>
      </c>
      <c r="C64" t="s">
        <v>287</v>
      </c>
      <c r="D64" t="str">
        <f>_xlfn.TEXTBEFORE(Tabla5[[#This Row],[archivo]],"/")</f>
        <v>amaral</v>
      </c>
    </row>
    <row r="65" spans="1:4" x14ac:dyDescent="0.3">
      <c r="A65" t="s">
        <v>2831</v>
      </c>
      <c r="B65" t="s">
        <v>2665</v>
      </c>
      <c r="C65" t="s">
        <v>2665</v>
      </c>
      <c r="D65" t="str">
        <f>_xlfn.TEXTBEFORE(Tabla5[[#This Row],[archivo]],"/")</f>
        <v>amaral</v>
      </c>
    </row>
    <row r="66" spans="1:4" x14ac:dyDescent="0.3">
      <c r="A66" t="s">
        <v>2832</v>
      </c>
      <c r="B66" t="s">
        <v>289</v>
      </c>
      <c r="C66" t="s">
        <v>289</v>
      </c>
      <c r="D66" t="str">
        <f>_xlfn.TEXTBEFORE(Tabla5[[#This Row],[archivo]],"/")</f>
        <v>amaral</v>
      </c>
    </row>
    <row r="67" spans="1:4" x14ac:dyDescent="0.3">
      <c r="A67" t="s">
        <v>2833</v>
      </c>
      <c r="B67" t="s">
        <v>290</v>
      </c>
      <c r="C67" t="s">
        <v>290</v>
      </c>
      <c r="D67" t="str">
        <f>_xlfn.TEXTBEFORE(Tabla5[[#This Row],[archivo]],"/")</f>
        <v>amaral</v>
      </c>
    </row>
    <row r="68" spans="1:4" x14ac:dyDescent="0.3">
      <c r="A68" t="s">
        <v>2834</v>
      </c>
      <c r="B68" t="s">
        <v>291</v>
      </c>
      <c r="C68" t="s">
        <v>291</v>
      </c>
      <c r="D68" t="str">
        <f>_xlfn.TEXTBEFORE(Tabla5[[#This Row],[archivo]],"/")</f>
        <v>amaral</v>
      </c>
    </row>
    <row r="69" spans="1:4" x14ac:dyDescent="0.3">
      <c r="A69" t="s">
        <v>2835</v>
      </c>
      <c r="B69" t="s">
        <v>296</v>
      </c>
      <c r="C69" t="s">
        <v>296</v>
      </c>
      <c r="D69" t="str">
        <f>_xlfn.TEXTBEFORE(Tabla5[[#This Row],[archivo]],"/")</f>
        <v>amaral</v>
      </c>
    </row>
    <row r="70" spans="1:4" x14ac:dyDescent="0.3">
      <c r="A70" t="s">
        <v>2836</v>
      </c>
      <c r="B70" t="s">
        <v>297</v>
      </c>
      <c r="C70" t="s">
        <v>297</v>
      </c>
      <c r="D70" t="str">
        <f>_xlfn.TEXTBEFORE(Tabla5[[#This Row],[archivo]],"/")</f>
        <v>amaral</v>
      </c>
    </row>
    <row r="71" spans="1:4" x14ac:dyDescent="0.3">
      <c r="A71" t="s">
        <v>2837</v>
      </c>
      <c r="B71" t="s">
        <v>2666</v>
      </c>
      <c r="C71" t="s">
        <v>2666</v>
      </c>
      <c r="D71" t="str">
        <f>_xlfn.TEXTBEFORE(Tabla5[[#This Row],[archivo]],"/")</f>
        <v>amaral</v>
      </c>
    </row>
    <row r="72" spans="1:4" x14ac:dyDescent="0.3">
      <c r="A72" t="s">
        <v>2838</v>
      </c>
      <c r="B72" t="s">
        <v>293</v>
      </c>
      <c r="C72" t="s">
        <v>293</v>
      </c>
      <c r="D72" t="str">
        <f>_xlfn.TEXTBEFORE(Tabla5[[#This Row],[archivo]],"/")</f>
        <v>amaral</v>
      </c>
    </row>
    <row r="73" spans="1:4" x14ac:dyDescent="0.3">
      <c r="A73" t="s">
        <v>2839</v>
      </c>
      <c r="B73" t="s">
        <v>294</v>
      </c>
      <c r="C73" t="s">
        <v>294</v>
      </c>
      <c r="D73" t="str">
        <f>_xlfn.TEXTBEFORE(Tabla5[[#This Row],[archivo]],"/")</f>
        <v>amaral</v>
      </c>
    </row>
    <row r="74" spans="1:4" x14ac:dyDescent="0.3">
      <c r="A74" t="s">
        <v>2840</v>
      </c>
      <c r="B74" t="s">
        <v>295</v>
      </c>
      <c r="C74" t="s">
        <v>295</v>
      </c>
      <c r="D74" t="str">
        <f>_xlfn.TEXTBEFORE(Tabla5[[#This Row],[archivo]],"/")</f>
        <v>amaral</v>
      </c>
    </row>
    <row r="75" spans="1:4" x14ac:dyDescent="0.3">
      <c r="A75" t="s">
        <v>2841</v>
      </c>
      <c r="B75" t="s">
        <v>298</v>
      </c>
      <c r="C75" t="s">
        <v>298</v>
      </c>
      <c r="D75" t="str">
        <f>_xlfn.TEXTBEFORE(Tabla5[[#This Row],[archivo]],"/")</f>
        <v>amaral</v>
      </c>
    </row>
    <row r="76" spans="1:4" x14ac:dyDescent="0.3">
      <c r="A76" t="s">
        <v>2842</v>
      </c>
      <c r="B76" t="s">
        <v>170</v>
      </c>
      <c r="C76" t="s">
        <v>170</v>
      </c>
      <c r="D76" t="str">
        <f>_xlfn.TEXTBEFORE(Tabla5[[#This Row],[archivo]],"/")</f>
        <v>amaral</v>
      </c>
    </row>
    <row r="77" spans="1:4" x14ac:dyDescent="0.3">
      <c r="A77" t="s">
        <v>2843</v>
      </c>
      <c r="B77" t="s">
        <v>2667</v>
      </c>
      <c r="C77" t="s">
        <v>2667</v>
      </c>
      <c r="D77" t="str">
        <f>_xlfn.TEXTBEFORE(Tabla5[[#This Row],[archivo]],"/")</f>
        <v>amaral</v>
      </c>
    </row>
    <row r="78" spans="1:4" x14ac:dyDescent="0.3">
      <c r="A78" t="s">
        <v>2844</v>
      </c>
      <c r="B78" t="s">
        <v>299</v>
      </c>
      <c r="C78" t="s">
        <v>299</v>
      </c>
      <c r="D78" t="str">
        <f>_xlfn.TEXTBEFORE(Tabla5[[#This Row],[archivo]],"/")</f>
        <v>amaral</v>
      </c>
    </row>
    <row r="79" spans="1:4" x14ac:dyDescent="0.3">
      <c r="A79" t="s">
        <v>2845</v>
      </c>
      <c r="B79" t="s">
        <v>301</v>
      </c>
      <c r="C79" t="s">
        <v>301</v>
      </c>
      <c r="D79" t="str">
        <f>_xlfn.TEXTBEFORE(Tabla5[[#This Row],[archivo]],"/")</f>
        <v>amaral</v>
      </c>
    </row>
    <row r="80" spans="1:4" x14ac:dyDescent="0.3">
      <c r="A80" t="s">
        <v>2846</v>
      </c>
      <c r="B80" t="s">
        <v>302</v>
      </c>
      <c r="C80" t="s">
        <v>302</v>
      </c>
      <c r="D80" t="str">
        <f>_xlfn.TEXTBEFORE(Tabla5[[#This Row],[archivo]],"/")</f>
        <v>amaral</v>
      </c>
    </row>
    <row r="81" spans="1:4" x14ac:dyDescent="0.3">
      <c r="A81" t="s">
        <v>2847</v>
      </c>
      <c r="B81" t="s">
        <v>303</v>
      </c>
      <c r="C81" t="s">
        <v>303</v>
      </c>
      <c r="D81" t="str">
        <f>_xlfn.TEXTBEFORE(Tabla5[[#This Row],[archivo]],"/")</f>
        <v>amaral</v>
      </c>
    </row>
    <row r="82" spans="1:4" x14ac:dyDescent="0.3">
      <c r="A82" t="s">
        <v>2848</v>
      </c>
      <c r="B82" t="s">
        <v>304</v>
      </c>
      <c r="C82" t="s">
        <v>304</v>
      </c>
      <c r="D82" t="str">
        <f>_xlfn.TEXTBEFORE(Tabla5[[#This Row],[archivo]],"/")</f>
        <v>amaral</v>
      </c>
    </row>
    <row r="83" spans="1:4" x14ac:dyDescent="0.3">
      <c r="A83" t="s">
        <v>2849</v>
      </c>
      <c r="B83" t="s">
        <v>305</v>
      </c>
      <c r="C83" t="s">
        <v>305</v>
      </c>
      <c r="D83" t="str">
        <f>_xlfn.TEXTBEFORE(Tabla5[[#This Row],[archivo]],"/")</f>
        <v>amaral</v>
      </c>
    </row>
    <row r="84" spans="1:4" x14ac:dyDescent="0.3">
      <c r="A84" t="s">
        <v>2850</v>
      </c>
      <c r="B84" t="s">
        <v>306</v>
      </c>
      <c r="C84" t="s">
        <v>306</v>
      </c>
      <c r="D84" t="str">
        <f>_xlfn.TEXTBEFORE(Tabla5[[#This Row],[archivo]],"/")</f>
        <v>amaral</v>
      </c>
    </row>
    <row r="85" spans="1:4" x14ac:dyDescent="0.3">
      <c r="A85" t="s">
        <v>2851</v>
      </c>
      <c r="B85" t="s">
        <v>307</v>
      </c>
      <c r="C85" t="s">
        <v>307</v>
      </c>
      <c r="D85" t="str">
        <f>_xlfn.TEXTBEFORE(Tabla5[[#This Row],[archivo]],"/")</f>
        <v>amaral</v>
      </c>
    </row>
    <row r="86" spans="1:4" x14ac:dyDescent="0.3">
      <c r="A86" t="s">
        <v>2852</v>
      </c>
      <c r="B86" t="s">
        <v>308</v>
      </c>
      <c r="C86" t="s">
        <v>308</v>
      </c>
      <c r="D86" t="str">
        <f>_xlfn.TEXTBEFORE(Tabla5[[#This Row],[archivo]],"/")</f>
        <v>amaral</v>
      </c>
    </row>
    <row r="87" spans="1:4" x14ac:dyDescent="0.3">
      <c r="A87" t="s">
        <v>2853</v>
      </c>
      <c r="B87" t="s">
        <v>309</v>
      </c>
      <c r="C87" t="s">
        <v>309</v>
      </c>
      <c r="D87" t="str">
        <f>_xlfn.TEXTBEFORE(Tabla5[[#This Row],[archivo]],"/")</f>
        <v>amaral</v>
      </c>
    </row>
    <row r="88" spans="1:4" x14ac:dyDescent="0.3">
      <c r="A88" t="s">
        <v>2854</v>
      </c>
      <c r="B88" t="s">
        <v>311</v>
      </c>
      <c r="C88" t="s">
        <v>311</v>
      </c>
      <c r="D88" t="str">
        <f>_xlfn.TEXTBEFORE(Tabla5[[#This Row],[archivo]],"/")</f>
        <v>amaral</v>
      </c>
    </row>
    <row r="89" spans="1:4" x14ac:dyDescent="0.3">
      <c r="A89" t="s">
        <v>2855</v>
      </c>
      <c r="B89" t="s">
        <v>312</v>
      </c>
      <c r="C89" t="s">
        <v>312</v>
      </c>
      <c r="D89" t="str">
        <f>_xlfn.TEXTBEFORE(Tabla5[[#This Row],[archivo]],"/")</f>
        <v>amaral</v>
      </c>
    </row>
    <row r="90" spans="1:4" x14ac:dyDescent="0.3">
      <c r="A90" t="s">
        <v>2856</v>
      </c>
      <c r="B90" t="s">
        <v>310</v>
      </c>
      <c r="C90" t="s">
        <v>310</v>
      </c>
      <c r="D90" t="str">
        <f>_xlfn.TEXTBEFORE(Tabla5[[#This Row],[archivo]],"/")</f>
        <v>amaral</v>
      </c>
    </row>
    <row r="91" spans="1:4" x14ac:dyDescent="0.3">
      <c r="A91" t="s">
        <v>2857</v>
      </c>
      <c r="B91" t="s">
        <v>313</v>
      </c>
      <c r="C91" t="s">
        <v>313</v>
      </c>
      <c r="D91" t="str">
        <f>_xlfn.TEXTBEFORE(Tabla5[[#This Row],[archivo]],"/")</f>
        <v>amaral</v>
      </c>
    </row>
    <row r="92" spans="1:4" x14ac:dyDescent="0.3">
      <c r="A92" t="s">
        <v>2858</v>
      </c>
      <c r="B92" t="s">
        <v>314</v>
      </c>
      <c r="C92" t="s">
        <v>314</v>
      </c>
      <c r="D92" t="str">
        <f>_xlfn.TEXTBEFORE(Tabla5[[#This Row],[archivo]],"/")</f>
        <v>amaral</v>
      </c>
    </row>
    <row r="93" spans="1:4" x14ac:dyDescent="0.3">
      <c r="A93" t="s">
        <v>2859</v>
      </c>
      <c r="B93" t="s">
        <v>317</v>
      </c>
      <c r="C93" t="s">
        <v>317</v>
      </c>
      <c r="D93" t="str">
        <f>_xlfn.TEXTBEFORE(Tabla5[[#This Row],[archivo]],"/")</f>
        <v>amaral</v>
      </c>
    </row>
    <row r="94" spans="1:4" x14ac:dyDescent="0.3">
      <c r="A94" t="s">
        <v>2860</v>
      </c>
      <c r="B94" t="s">
        <v>315</v>
      </c>
      <c r="C94" t="s">
        <v>315</v>
      </c>
      <c r="D94" t="str">
        <f>_xlfn.TEXTBEFORE(Tabla5[[#This Row],[archivo]],"/")</f>
        <v>amaral</v>
      </c>
    </row>
    <row r="95" spans="1:4" x14ac:dyDescent="0.3">
      <c r="A95" t="s">
        <v>2861</v>
      </c>
      <c r="B95" t="s">
        <v>316</v>
      </c>
      <c r="C95" t="s">
        <v>316</v>
      </c>
      <c r="D95" t="str">
        <f>_xlfn.TEXTBEFORE(Tabla5[[#This Row],[archivo]],"/")</f>
        <v>amaral</v>
      </c>
    </row>
    <row r="96" spans="1:4" x14ac:dyDescent="0.3">
      <c r="A96" t="s">
        <v>2862</v>
      </c>
      <c r="B96" t="s">
        <v>318</v>
      </c>
      <c r="C96" t="s">
        <v>318</v>
      </c>
      <c r="D96" t="str">
        <f>_xlfn.TEXTBEFORE(Tabla5[[#This Row],[archivo]],"/")</f>
        <v>amaral</v>
      </c>
    </row>
    <row r="97" spans="1:4" x14ac:dyDescent="0.3">
      <c r="A97" t="s">
        <v>2863</v>
      </c>
      <c r="B97" t="s">
        <v>2479</v>
      </c>
      <c r="C97" t="s">
        <v>2479</v>
      </c>
      <c r="D97" t="str">
        <f>_xlfn.TEXTBEFORE(Tabla5[[#This Row],[archivo]],"/")</f>
        <v>amaral</v>
      </c>
    </row>
    <row r="98" spans="1:4" x14ac:dyDescent="0.3">
      <c r="A98" t="s">
        <v>2864</v>
      </c>
      <c r="B98" t="s">
        <v>319</v>
      </c>
      <c r="C98" t="s">
        <v>319</v>
      </c>
      <c r="D98" t="str">
        <f>_xlfn.TEXTBEFORE(Tabla5[[#This Row],[archivo]],"/")</f>
        <v>amaral</v>
      </c>
    </row>
    <row r="99" spans="1:4" x14ac:dyDescent="0.3">
      <c r="A99" t="s">
        <v>2865</v>
      </c>
      <c r="B99" t="s">
        <v>322</v>
      </c>
      <c r="C99" t="s">
        <v>322</v>
      </c>
      <c r="D99" t="str">
        <f>_xlfn.TEXTBEFORE(Tabla5[[#This Row],[archivo]],"/")</f>
        <v>amaral</v>
      </c>
    </row>
    <row r="100" spans="1:4" x14ac:dyDescent="0.3">
      <c r="A100" t="s">
        <v>2866</v>
      </c>
      <c r="B100" t="s">
        <v>321</v>
      </c>
      <c r="C100" t="s">
        <v>321</v>
      </c>
      <c r="D100" t="str">
        <f>_xlfn.TEXTBEFORE(Tabla5[[#This Row],[archivo]],"/")</f>
        <v>amaral</v>
      </c>
    </row>
    <row r="101" spans="1:4" x14ac:dyDescent="0.3">
      <c r="A101" t="s">
        <v>2867</v>
      </c>
      <c r="B101" t="s">
        <v>320</v>
      </c>
      <c r="C101" t="s">
        <v>320</v>
      </c>
      <c r="D101" t="str">
        <f>_xlfn.TEXTBEFORE(Tabla5[[#This Row],[archivo]],"/")</f>
        <v>amaral</v>
      </c>
    </row>
    <row r="102" spans="1:4" x14ac:dyDescent="0.3">
      <c r="A102" t="s">
        <v>2868</v>
      </c>
      <c r="B102" t="s">
        <v>323</v>
      </c>
      <c r="C102" t="s">
        <v>323</v>
      </c>
      <c r="D102" t="str">
        <f>_xlfn.TEXTBEFORE(Tabla5[[#This Row],[archivo]],"/")</f>
        <v>amaral</v>
      </c>
    </row>
    <row r="103" spans="1:4" x14ac:dyDescent="0.3">
      <c r="A103" t="s">
        <v>2869</v>
      </c>
      <c r="B103" t="s">
        <v>324</v>
      </c>
      <c r="C103" t="s">
        <v>324</v>
      </c>
      <c r="D103" t="str">
        <f>_xlfn.TEXTBEFORE(Tabla5[[#This Row],[archivo]],"/")</f>
        <v>amaral</v>
      </c>
    </row>
    <row r="104" spans="1:4" x14ac:dyDescent="0.3">
      <c r="A104" t="s">
        <v>2870</v>
      </c>
      <c r="B104" t="s">
        <v>325</v>
      </c>
      <c r="C104" t="s">
        <v>325</v>
      </c>
      <c r="D104" t="str">
        <f>_xlfn.TEXTBEFORE(Tabla5[[#This Row],[archivo]],"/")</f>
        <v>amaral</v>
      </c>
    </row>
    <row r="105" spans="1:4" x14ac:dyDescent="0.3">
      <c r="A105" t="s">
        <v>2871</v>
      </c>
      <c r="B105" t="s">
        <v>2668</v>
      </c>
      <c r="C105" t="s">
        <v>2668</v>
      </c>
      <c r="D105" t="str">
        <f>_xlfn.TEXTBEFORE(Tabla5[[#This Row],[archivo]],"/")</f>
        <v>andres_suarez</v>
      </c>
    </row>
    <row r="106" spans="1:4" x14ac:dyDescent="0.3">
      <c r="A106" t="s">
        <v>2872</v>
      </c>
      <c r="B106" t="s">
        <v>2669</v>
      </c>
      <c r="C106" t="s">
        <v>2669</v>
      </c>
      <c r="D106" t="str">
        <f>_xlfn.TEXTBEFORE(Tabla5[[#This Row],[archivo]],"/")</f>
        <v>andres_suarez</v>
      </c>
    </row>
    <row r="107" spans="1:4" x14ac:dyDescent="0.3">
      <c r="A107" t="s">
        <v>2873</v>
      </c>
      <c r="B107" t="s">
        <v>1465</v>
      </c>
      <c r="C107" t="s">
        <v>1465</v>
      </c>
      <c r="D107" t="str">
        <f>_xlfn.TEXTBEFORE(Tabla5[[#This Row],[archivo]],"/")</f>
        <v>andres_suarez</v>
      </c>
    </row>
    <row r="108" spans="1:4" x14ac:dyDescent="0.3">
      <c r="A108" t="s">
        <v>2874</v>
      </c>
      <c r="B108" t="s">
        <v>1451</v>
      </c>
      <c r="C108" t="s">
        <v>1451</v>
      </c>
      <c r="D108" t="str">
        <f>_xlfn.TEXTBEFORE(Tabla5[[#This Row],[archivo]],"/")</f>
        <v>andres_suarez</v>
      </c>
    </row>
    <row r="109" spans="1:4" x14ac:dyDescent="0.3">
      <c r="A109" t="s">
        <v>2875</v>
      </c>
      <c r="B109" t="s">
        <v>2670</v>
      </c>
      <c r="C109" t="s">
        <v>2670</v>
      </c>
      <c r="D109" t="str">
        <f>_xlfn.TEXTBEFORE(Tabla5[[#This Row],[archivo]],"/")</f>
        <v>andres_suarez</v>
      </c>
    </row>
    <row r="110" spans="1:4" x14ac:dyDescent="0.3">
      <c r="A110" t="s">
        <v>2876</v>
      </c>
      <c r="B110" t="s">
        <v>1448</v>
      </c>
      <c r="C110" t="s">
        <v>1448</v>
      </c>
      <c r="D110" t="str">
        <f>_xlfn.TEXTBEFORE(Tabla5[[#This Row],[archivo]],"/")</f>
        <v>andres_suarez</v>
      </c>
    </row>
    <row r="111" spans="1:4" x14ac:dyDescent="0.3">
      <c r="A111" t="s">
        <v>2877</v>
      </c>
      <c r="B111" t="s">
        <v>1454</v>
      </c>
      <c r="C111" t="s">
        <v>1454</v>
      </c>
      <c r="D111" t="str">
        <f>_xlfn.TEXTBEFORE(Tabla5[[#This Row],[archivo]],"/")</f>
        <v>andres_suarez</v>
      </c>
    </row>
    <row r="112" spans="1:4" x14ac:dyDescent="0.3">
      <c r="A112" t="s">
        <v>2878</v>
      </c>
      <c r="B112" t="s">
        <v>1432</v>
      </c>
      <c r="C112" t="s">
        <v>1432</v>
      </c>
      <c r="D112" t="str">
        <f>_xlfn.TEXTBEFORE(Tabla5[[#This Row],[archivo]],"/")</f>
        <v>andres_suarez</v>
      </c>
    </row>
    <row r="113" spans="1:4" x14ac:dyDescent="0.3">
      <c r="A113" t="s">
        <v>2879</v>
      </c>
      <c r="B113" t="s">
        <v>1431</v>
      </c>
      <c r="C113" t="s">
        <v>1431</v>
      </c>
      <c r="D113" t="str">
        <f>_xlfn.TEXTBEFORE(Tabla5[[#This Row],[archivo]],"/")</f>
        <v>andres_suarez</v>
      </c>
    </row>
    <row r="114" spans="1:4" x14ac:dyDescent="0.3">
      <c r="A114" t="s">
        <v>2880</v>
      </c>
      <c r="B114" t="s">
        <v>1415</v>
      </c>
      <c r="C114" t="s">
        <v>1415</v>
      </c>
      <c r="D114" t="str">
        <f>_xlfn.TEXTBEFORE(Tabla5[[#This Row],[archivo]],"/")</f>
        <v>andres_suarez</v>
      </c>
    </row>
    <row r="115" spans="1:4" x14ac:dyDescent="0.3">
      <c r="A115" t="s">
        <v>2881</v>
      </c>
      <c r="B115" t="s">
        <v>2108</v>
      </c>
      <c r="C115" t="s">
        <v>2108</v>
      </c>
      <c r="D115" t="str">
        <f>_xlfn.TEXTBEFORE(Tabla5[[#This Row],[archivo]],"/")</f>
        <v>andres_suarez</v>
      </c>
    </row>
    <row r="116" spans="1:4" x14ac:dyDescent="0.3">
      <c r="A116" t="s">
        <v>2882</v>
      </c>
      <c r="B116" t="s">
        <v>1422</v>
      </c>
      <c r="C116" t="s">
        <v>1422</v>
      </c>
      <c r="D116" t="str">
        <f>_xlfn.TEXTBEFORE(Tabla5[[#This Row],[archivo]],"/")</f>
        <v>andres_suarez</v>
      </c>
    </row>
    <row r="117" spans="1:4" x14ac:dyDescent="0.3">
      <c r="A117" t="s">
        <v>2883</v>
      </c>
      <c r="B117" t="s">
        <v>1468</v>
      </c>
      <c r="C117" t="s">
        <v>1468</v>
      </c>
      <c r="D117" t="str">
        <f>_xlfn.TEXTBEFORE(Tabla5[[#This Row],[archivo]],"/")</f>
        <v>andres_suarez</v>
      </c>
    </row>
    <row r="118" spans="1:4" x14ac:dyDescent="0.3">
      <c r="A118" t="s">
        <v>2884</v>
      </c>
      <c r="B118" t="s">
        <v>2402</v>
      </c>
      <c r="C118" t="s">
        <v>2402</v>
      </c>
      <c r="D118" t="str">
        <f>_xlfn.TEXTBEFORE(Tabla5[[#This Row],[archivo]],"/")</f>
        <v>andres_suarez</v>
      </c>
    </row>
    <row r="119" spans="1:4" x14ac:dyDescent="0.3">
      <c r="A119" t="s">
        <v>2885</v>
      </c>
      <c r="B119" t="s">
        <v>1437</v>
      </c>
      <c r="C119" t="s">
        <v>1437</v>
      </c>
      <c r="D119" t="str">
        <f>_xlfn.TEXTBEFORE(Tabla5[[#This Row],[archivo]],"/")</f>
        <v>andres_suarez</v>
      </c>
    </row>
    <row r="120" spans="1:4" x14ac:dyDescent="0.3">
      <c r="A120" t="s">
        <v>2886</v>
      </c>
      <c r="B120" t="s">
        <v>1528</v>
      </c>
      <c r="C120" t="s">
        <v>1528</v>
      </c>
      <c r="D120" t="str">
        <f>_xlfn.TEXTBEFORE(Tabla5[[#This Row],[archivo]],"/")</f>
        <v>andres_suarez</v>
      </c>
    </row>
    <row r="121" spans="1:4" x14ac:dyDescent="0.3">
      <c r="A121" t="s">
        <v>2887</v>
      </c>
      <c r="B121" t="s">
        <v>1447</v>
      </c>
      <c r="C121" t="s">
        <v>1447</v>
      </c>
      <c r="D121" t="str">
        <f>_xlfn.TEXTBEFORE(Tabla5[[#This Row],[archivo]],"/")</f>
        <v>andres_suarez</v>
      </c>
    </row>
    <row r="122" spans="1:4" x14ac:dyDescent="0.3">
      <c r="A122" t="s">
        <v>2888</v>
      </c>
      <c r="B122" t="s">
        <v>1457</v>
      </c>
      <c r="C122" t="s">
        <v>1457</v>
      </c>
      <c r="D122" t="str">
        <f>_xlfn.TEXTBEFORE(Tabla5[[#This Row],[archivo]],"/")</f>
        <v>andres_suarez</v>
      </c>
    </row>
    <row r="123" spans="1:4" x14ac:dyDescent="0.3">
      <c r="A123" t="s">
        <v>2889</v>
      </c>
      <c r="B123" t="s">
        <v>646</v>
      </c>
      <c r="C123" t="s">
        <v>646</v>
      </c>
      <c r="D123" t="str">
        <f>_xlfn.TEXTBEFORE(Tabla5[[#This Row],[archivo]],"/")</f>
        <v>andres_suarez</v>
      </c>
    </row>
    <row r="124" spans="1:4" x14ac:dyDescent="0.3">
      <c r="A124" t="s">
        <v>2890</v>
      </c>
      <c r="B124" t="s">
        <v>2109</v>
      </c>
      <c r="C124" t="s">
        <v>2109</v>
      </c>
      <c r="D124" t="str">
        <f>_xlfn.TEXTBEFORE(Tabla5[[#This Row],[archivo]],"/")</f>
        <v>andres_suarez</v>
      </c>
    </row>
    <row r="125" spans="1:4" x14ac:dyDescent="0.3">
      <c r="A125" t="s">
        <v>2891</v>
      </c>
      <c r="B125" t="s">
        <v>1443</v>
      </c>
      <c r="C125" t="s">
        <v>1443</v>
      </c>
      <c r="D125" t="str">
        <f>_xlfn.TEXTBEFORE(Tabla5[[#This Row],[archivo]],"/")</f>
        <v>andres_suarez</v>
      </c>
    </row>
    <row r="126" spans="1:4" x14ac:dyDescent="0.3">
      <c r="A126" t="s">
        <v>2892</v>
      </c>
      <c r="B126" t="s">
        <v>1469</v>
      </c>
      <c r="C126" t="s">
        <v>1469</v>
      </c>
      <c r="D126" t="str">
        <f>_xlfn.TEXTBEFORE(Tabla5[[#This Row],[archivo]],"/")</f>
        <v>andres_suarez</v>
      </c>
    </row>
    <row r="127" spans="1:4" x14ac:dyDescent="0.3">
      <c r="A127" t="s">
        <v>2893</v>
      </c>
      <c r="B127" t="s">
        <v>1446</v>
      </c>
      <c r="C127" t="s">
        <v>1446</v>
      </c>
      <c r="D127" t="str">
        <f>_xlfn.TEXTBEFORE(Tabla5[[#This Row],[archivo]],"/")</f>
        <v>andres_suarez</v>
      </c>
    </row>
    <row r="128" spans="1:4" x14ac:dyDescent="0.3">
      <c r="A128" t="s">
        <v>2894</v>
      </c>
      <c r="B128" t="s">
        <v>1429</v>
      </c>
      <c r="C128" t="s">
        <v>1429</v>
      </c>
      <c r="D128" t="str">
        <f>_xlfn.TEXTBEFORE(Tabla5[[#This Row],[archivo]],"/")</f>
        <v>andres_suarez</v>
      </c>
    </row>
    <row r="129" spans="1:4" x14ac:dyDescent="0.3">
      <c r="A129" t="s">
        <v>2895</v>
      </c>
      <c r="B129" t="s">
        <v>1449</v>
      </c>
      <c r="C129" t="s">
        <v>1449</v>
      </c>
      <c r="D129" t="str">
        <f>_xlfn.TEXTBEFORE(Tabla5[[#This Row],[archivo]],"/")</f>
        <v>andres_suarez</v>
      </c>
    </row>
    <row r="130" spans="1:4" x14ac:dyDescent="0.3">
      <c r="A130" t="s">
        <v>2896</v>
      </c>
      <c r="B130" t="s">
        <v>1414</v>
      </c>
      <c r="C130" t="s">
        <v>1414</v>
      </c>
      <c r="D130" t="str">
        <f>_xlfn.TEXTBEFORE(Tabla5[[#This Row],[archivo]],"/")</f>
        <v>andres_suarez</v>
      </c>
    </row>
    <row r="131" spans="1:4" x14ac:dyDescent="0.3">
      <c r="A131" t="s">
        <v>2897</v>
      </c>
      <c r="B131" t="s">
        <v>1416</v>
      </c>
      <c r="C131" t="s">
        <v>1416</v>
      </c>
      <c r="D131" t="str">
        <f>_xlfn.TEXTBEFORE(Tabla5[[#This Row],[archivo]],"/")</f>
        <v>andres_suarez</v>
      </c>
    </row>
    <row r="132" spans="1:4" x14ac:dyDescent="0.3">
      <c r="A132" t="s">
        <v>2898</v>
      </c>
      <c r="B132" t="s">
        <v>1462</v>
      </c>
      <c r="C132" t="s">
        <v>1462</v>
      </c>
      <c r="D132" t="str">
        <f>_xlfn.TEXTBEFORE(Tabla5[[#This Row],[archivo]],"/")</f>
        <v>andres_suarez</v>
      </c>
    </row>
    <row r="133" spans="1:4" x14ac:dyDescent="0.3">
      <c r="A133" t="s">
        <v>2899</v>
      </c>
      <c r="B133" t="s">
        <v>1453</v>
      </c>
      <c r="C133" t="s">
        <v>1453</v>
      </c>
      <c r="D133" t="str">
        <f>_xlfn.TEXTBEFORE(Tabla5[[#This Row],[archivo]],"/")</f>
        <v>andres_suarez</v>
      </c>
    </row>
    <row r="134" spans="1:4" x14ac:dyDescent="0.3">
      <c r="A134" t="s">
        <v>2900</v>
      </c>
      <c r="B134" t="s">
        <v>1420</v>
      </c>
      <c r="C134" t="s">
        <v>1420</v>
      </c>
      <c r="D134" t="str">
        <f>_xlfn.TEXTBEFORE(Tabla5[[#This Row],[archivo]],"/")</f>
        <v>andres_suarez</v>
      </c>
    </row>
    <row r="135" spans="1:4" x14ac:dyDescent="0.3">
      <c r="A135" t="s">
        <v>2901</v>
      </c>
      <c r="B135" t="s">
        <v>1418</v>
      </c>
      <c r="C135" t="s">
        <v>1418</v>
      </c>
      <c r="D135" t="str">
        <f>_xlfn.TEXTBEFORE(Tabla5[[#This Row],[archivo]],"/")</f>
        <v>andres_suarez</v>
      </c>
    </row>
    <row r="136" spans="1:4" x14ac:dyDescent="0.3">
      <c r="A136" t="s">
        <v>2902</v>
      </c>
      <c r="B136" t="s">
        <v>1461</v>
      </c>
      <c r="C136" t="s">
        <v>1461</v>
      </c>
      <c r="D136" t="str">
        <f>_xlfn.TEXTBEFORE(Tabla5[[#This Row],[archivo]],"/")</f>
        <v>andres_suarez</v>
      </c>
    </row>
    <row r="137" spans="1:4" x14ac:dyDescent="0.3">
      <c r="A137" t="s">
        <v>2903</v>
      </c>
      <c r="B137" t="s">
        <v>1438</v>
      </c>
      <c r="C137" t="s">
        <v>1438</v>
      </c>
      <c r="D137" t="str">
        <f>_xlfn.TEXTBEFORE(Tabla5[[#This Row],[archivo]],"/")</f>
        <v>andres_suarez</v>
      </c>
    </row>
    <row r="138" spans="1:4" x14ac:dyDescent="0.3">
      <c r="A138" t="s">
        <v>2904</v>
      </c>
      <c r="B138" t="s">
        <v>1421</v>
      </c>
      <c r="C138" t="s">
        <v>1421</v>
      </c>
      <c r="D138" t="str">
        <f>_xlfn.TEXTBEFORE(Tabla5[[#This Row],[archivo]],"/")</f>
        <v>andres_suarez</v>
      </c>
    </row>
    <row r="139" spans="1:4" x14ac:dyDescent="0.3">
      <c r="A139" t="s">
        <v>2905</v>
      </c>
      <c r="B139" t="s">
        <v>2459</v>
      </c>
      <c r="C139" t="s">
        <v>2459</v>
      </c>
      <c r="D139" t="str">
        <f>_xlfn.TEXTBEFORE(Tabla5[[#This Row],[archivo]],"/")</f>
        <v>andres_suarez</v>
      </c>
    </row>
    <row r="140" spans="1:4" x14ac:dyDescent="0.3">
      <c r="A140" t="s">
        <v>2906</v>
      </c>
      <c r="B140" t="s">
        <v>1433</v>
      </c>
      <c r="C140" t="s">
        <v>1433</v>
      </c>
      <c r="D140" t="str">
        <f>_xlfn.TEXTBEFORE(Tabla5[[#This Row],[archivo]],"/")</f>
        <v>andres_suarez</v>
      </c>
    </row>
    <row r="141" spans="1:4" x14ac:dyDescent="0.3">
      <c r="A141" t="s">
        <v>2907</v>
      </c>
      <c r="B141" t="s">
        <v>1470</v>
      </c>
      <c r="C141" t="s">
        <v>1470</v>
      </c>
      <c r="D141" t="str">
        <f>_xlfn.TEXTBEFORE(Tabla5[[#This Row],[archivo]],"/")</f>
        <v>andres_suarez</v>
      </c>
    </row>
    <row r="142" spans="1:4" x14ac:dyDescent="0.3">
      <c r="A142" t="s">
        <v>2908</v>
      </c>
      <c r="B142" t="s">
        <v>2414</v>
      </c>
      <c r="C142" t="s">
        <v>2414</v>
      </c>
      <c r="D142" t="str">
        <f>_xlfn.TEXTBEFORE(Tabla5[[#This Row],[archivo]],"/")</f>
        <v>andres_suarez</v>
      </c>
    </row>
    <row r="143" spans="1:4" x14ac:dyDescent="0.3">
      <c r="A143" t="s">
        <v>2909</v>
      </c>
      <c r="B143" t="s">
        <v>1464</v>
      </c>
      <c r="C143" t="s">
        <v>1464</v>
      </c>
      <c r="D143" t="str">
        <f>_xlfn.TEXTBEFORE(Tabla5[[#This Row],[archivo]],"/")</f>
        <v>andres_suarez</v>
      </c>
    </row>
    <row r="144" spans="1:4" x14ac:dyDescent="0.3">
      <c r="A144" t="s">
        <v>2910</v>
      </c>
      <c r="B144" t="s">
        <v>2671</v>
      </c>
      <c r="C144" t="s">
        <v>2671</v>
      </c>
      <c r="D144" t="str">
        <f>_xlfn.TEXTBEFORE(Tabla5[[#This Row],[archivo]],"/")</f>
        <v>andres_suarez</v>
      </c>
    </row>
    <row r="145" spans="1:4" x14ac:dyDescent="0.3">
      <c r="A145" t="s">
        <v>2911</v>
      </c>
      <c r="B145" t="s">
        <v>1419</v>
      </c>
      <c r="C145" t="s">
        <v>1419</v>
      </c>
      <c r="D145" t="str">
        <f>_xlfn.TEXTBEFORE(Tabla5[[#This Row],[archivo]],"/")</f>
        <v>andres_suarez</v>
      </c>
    </row>
    <row r="146" spans="1:4" x14ac:dyDescent="0.3">
      <c r="A146" t="s">
        <v>2912</v>
      </c>
      <c r="B146" t="s">
        <v>1434</v>
      </c>
      <c r="C146" t="s">
        <v>1434</v>
      </c>
      <c r="D146" t="str">
        <f>_xlfn.TEXTBEFORE(Tabla5[[#This Row],[archivo]],"/")</f>
        <v>andres_suarez</v>
      </c>
    </row>
    <row r="147" spans="1:4" x14ac:dyDescent="0.3">
      <c r="A147" t="s">
        <v>2913</v>
      </c>
      <c r="B147" t="s">
        <v>1417</v>
      </c>
      <c r="C147" t="s">
        <v>1417</v>
      </c>
      <c r="D147" t="str">
        <f>_xlfn.TEXTBEFORE(Tabla5[[#This Row],[archivo]],"/")</f>
        <v>andres_suarez</v>
      </c>
    </row>
    <row r="148" spans="1:4" x14ac:dyDescent="0.3">
      <c r="A148" t="s">
        <v>2914</v>
      </c>
      <c r="B148" t="s">
        <v>1428</v>
      </c>
      <c r="C148" t="s">
        <v>1428</v>
      </c>
      <c r="D148" t="str">
        <f>_xlfn.TEXTBEFORE(Tabla5[[#This Row],[archivo]],"/")</f>
        <v>andres_suarez</v>
      </c>
    </row>
    <row r="149" spans="1:4" x14ac:dyDescent="0.3">
      <c r="A149" t="s">
        <v>2915</v>
      </c>
      <c r="B149" t="s">
        <v>994</v>
      </c>
      <c r="C149" t="s">
        <v>994</v>
      </c>
      <c r="D149" t="str">
        <f>_xlfn.TEXTBEFORE(Tabla5[[#This Row],[archivo]],"/")</f>
        <v>andres_suarez</v>
      </c>
    </row>
    <row r="150" spans="1:4" x14ac:dyDescent="0.3">
      <c r="A150" t="s">
        <v>2916</v>
      </c>
      <c r="B150" t="s">
        <v>1441</v>
      </c>
      <c r="C150" t="s">
        <v>1441</v>
      </c>
      <c r="D150" t="str">
        <f>_xlfn.TEXTBEFORE(Tabla5[[#This Row],[archivo]],"/")</f>
        <v>andres_suarez</v>
      </c>
    </row>
    <row r="151" spans="1:4" x14ac:dyDescent="0.3">
      <c r="A151" t="s">
        <v>2917</v>
      </c>
      <c r="B151" t="s">
        <v>1424</v>
      </c>
      <c r="C151" t="s">
        <v>1424</v>
      </c>
      <c r="D151" t="str">
        <f>_xlfn.TEXTBEFORE(Tabla5[[#This Row],[archivo]],"/")</f>
        <v>andres_suarez</v>
      </c>
    </row>
    <row r="152" spans="1:4" x14ac:dyDescent="0.3">
      <c r="A152" t="s">
        <v>2918</v>
      </c>
      <c r="B152" t="s">
        <v>1423</v>
      </c>
      <c r="C152" t="s">
        <v>1423</v>
      </c>
      <c r="D152" t="str">
        <f>_xlfn.TEXTBEFORE(Tabla5[[#This Row],[archivo]],"/")</f>
        <v>andres_suarez</v>
      </c>
    </row>
    <row r="153" spans="1:4" x14ac:dyDescent="0.3">
      <c r="A153" t="s">
        <v>2919</v>
      </c>
      <c r="B153" t="s">
        <v>1472</v>
      </c>
      <c r="C153" t="s">
        <v>1472</v>
      </c>
      <c r="D153" t="str">
        <f>_xlfn.TEXTBEFORE(Tabla5[[#This Row],[archivo]],"/")</f>
        <v>andres_suarez</v>
      </c>
    </row>
    <row r="154" spans="1:4" x14ac:dyDescent="0.3">
      <c r="A154" t="s">
        <v>2920</v>
      </c>
      <c r="B154" t="s">
        <v>1445</v>
      </c>
      <c r="C154" t="s">
        <v>1445</v>
      </c>
      <c r="D154" t="str">
        <f>_xlfn.TEXTBEFORE(Tabla5[[#This Row],[archivo]],"/")</f>
        <v>andres_suarez</v>
      </c>
    </row>
    <row r="155" spans="1:4" x14ac:dyDescent="0.3">
      <c r="A155" t="s">
        <v>2921</v>
      </c>
      <c r="B155" t="s">
        <v>1427</v>
      </c>
      <c r="C155" t="s">
        <v>1427</v>
      </c>
      <c r="D155" t="str">
        <f>_xlfn.TEXTBEFORE(Tabla5[[#This Row],[archivo]],"/")</f>
        <v>andres_suarez</v>
      </c>
    </row>
    <row r="156" spans="1:4" x14ac:dyDescent="0.3">
      <c r="A156" t="s">
        <v>2922</v>
      </c>
      <c r="B156" t="s">
        <v>1460</v>
      </c>
      <c r="C156" t="s">
        <v>1460</v>
      </c>
      <c r="D156" t="str">
        <f>_xlfn.TEXTBEFORE(Tabla5[[#This Row],[archivo]],"/")</f>
        <v>andres_suarez</v>
      </c>
    </row>
    <row r="157" spans="1:4" x14ac:dyDescent="0.3">
      <c r="A157" t="s">
        <v>2923</v>
      </c>
      <c r="B157" t="s">
        <v>1430</v>
      </c>
      <c r="C157" t="s">
        <v>1430</v>
      </c>
      <c r="D157" t="str">
        <f>_xlfn.TEXTBEFORE(Tabla5[[#This Row],[archivo]],"/")</f>
        <v>andres_suarez</v>
      </c>
    </row>
    <row r="158" spans="1:4" x14ac:dyDescent="0.3">
      <c r="A158" t="s">
        <v>2924</v>
      </c>
      <c r="B158" t="s">
        <v>1456</v>
      </c>
      <c r="C158" t="s">
        <v>1456</v>
      </c>
      <c r="D158" t="str">
        <f>_xlfn.TEXTBEFORE(Tabla5[[#This Row],[archivo]],"/")</f>
        <v>andres_suarez</v>
      </c>
    </row>
    <row r="159" spans="1:4" x14ac:dyDescent="0.3">
      <c r="A159" t="s">
        <v>2925</v>
      </c>
      <c r="B159" t="s">
        <v>1458</v>
      </c>
      <c r="C159" t="s">
        <v>1458</v>
      </c>
      <c r="D159" t="str">
        <f>_xlfn.TEXTBEFORE(Tabla5[[#This Row],[archivo]],"/")</f>
        <v>andres_suarez</v>
      </c>
    </row>
    <row r="160" spans="1:4" x14ac:dyDescent="0.3">
      <c r="A160" t="s">
        <v>2926</v>
      </c>
      <c r="B160" t="s">
        <v>1467</v>
      </c>
      <c r="C160" t="s">
        <v>1467</v>
      </c>
      <c r="D160" t="str">
        <f>_xlfn.TEXTBEFORE(Tabla5[[#This Row],[archivo]],"/")</f>
        <v>andres_suarez</v>
      </c>
    </row>
    <row r="161" spans="1:4" x14ac:dyDescent="0.3">
      <c r="A161" t="s">
        <v>2927</v>
      </c>
      <c r="B161" t="s">
        <v>1439</v>
      </c>
      <c r="C161" t="s">
        <v>1439</v>
      </c>
      <c r="D161" t="str">
        <f>_xlfn.TEXTBEFORE(Tabla5[[#This Row],[archivo]],"/")</f>
        <v>andres_suarez</v>
      </c>
    </row>
    <row r="162" spans="1:4" x14ac:dyDescent="0.3">
      <c r="A162" t="s">
        <v>2928</v>
      </c>
      <c r="B162" t="s">
        <v>2416</v>
      </c>
      <c r="C162" t="s">
        <v>2416</v>
      </c>
      <c r="D162" t="str">
        <f>_xlfn.TEXTBEFORE(Tabla5[[#This Row],[archivo]],"/")</f>
        <v>andres_suarez</v>
      </c>
    </row>
    <row r="163" spans="1:4" x14ac:dyDescent="0.3">
      <c r="A163" t="s">
        <v>2929</v>
      </c>
      <c r="B163" t="s">
        <v>1452</v>
      </c>
      <c r="C163" t="s">
        <v>1452</v>
      </c>
      <c r="D163" t="str">
        <f>_xlfn.TEXTBEFORE(Tabla5[[#This Row],[archivo]],"/")</f>
        <v>andres_suarez</v>
      </c>
    </row>
    <row r="164" spans="1:4" x14ac:dyDescent="0.3">
      <c r="A164" t="s">
        <v>2930</v>
      </c>
      <c r="B164" t="s">
        <v>1425</v>
      </c>
      <c r="C164" t="s">
        <v>1425</v>
      </c>
      <c r="D164" t="str">
        <f>_xlfn.TEXTBEFORE(Tabla5[[#This Row],[archivo]],"/")</f>
        <v>andres_suarez</v>
      </c>
    </row>
    <row r="165" spans="1:4" x14ac:dyDescent="0.3">
      <c r="A165" t="s">
        <v>2931</v>
      </c>
      <c r="B165" t="s">
        <v>1442</v>
      </c>
      <c r="C165" t="s">
        <v>1442</v>
      </c>
      <c r="D165" t="str">
        <f>_xlfn.TEXTBEFORE(Tabla5[[#This Row],[archivo]],"/")</f>
        <v>andres_suarez</v>
      </c>
    </row>
    <row r="166" spans="1:4" x14ac:dyDescent="0.3">
      <c r="A166" t="s">
        <v>2932</v>
      </c>
      <c r="B166" t="s">
        <v>1436</v>
      </c>
      <c r="C166" t="s">
        <v>1436</v>
      </c>
      <c r="D166" t="str">
        <f>_xlfn.TEXTBEFORE(Tabla5[[#This Row],[archivo]],"/")</f>
        <v>andres_suarez</v>
      </c>
    </row>
    <row r="167" spans="1:4" x14ac:dyDescent="0.3">
      <c r="A167" t="s">
        <v>2933</v>
      </c>
      <c r="B167" t="s">
        <v>1029</v>
      </c>
      <c r="C167" t="s">
        <v>1029</v>
      </c>
      <c r="D167" t="str">
        <f>_xlfn.TEXTBEFORE(Tabla5[[#This Row],[archivo]],"/")</f>
        <v>andres_suarez</v>
      </c>
    </row>
    <row r="168" spans="1:4" x14ac:dyDescent="0.3">
      <c r="A168" t="s">
        <v>2934</v>
      </c>
      <c r="B168" t="s">
        <v>1444</v>
      </c>
      <c r="C168" t="s">
        <v>1444</v>
      </c>
      <c r="D168" t="str">
        <f>_xlfn.TEXTBEFORE(Tabla5[[#This Row],[archivo]],"/")</f>
        <v>andres_suarez</v>
      </c>
    </row>
    <row r="169" spans="1:4" x14ac:dyDescent="0.3">
      <c r="A169" t="s">
        <v>2935</v>
      </c>
      <c r="B169" t="s">
        <v>1466</v>
      </c>
      <c r="C169" t="s">
        <v>1466</v>
      </c>
      <c r="D169" t="str">
        <f>_xlfn.TEXTBEFORE(Tabla5[[#This Row],[archivo]],"/")</f>
        <v>andres_suarez</v>
      </c>
    </row>
    <row r="170" spans="1:4" x14ac:dyDescent="0.3">
      <c r="A170" t="s">
        <v>2936</v>
      </c>
      <c r="B170" t="s">
        <v>1440</v>
      </c>
      <c r="C170" t="s">
        <v>1440</v>
      </c>
      <c r="D170" t="str">
        <f>_xlfn.TEXTBEFORE(Tabla5[[#This Row],[archivo]],"/")</f>
        <v>andres_suarez</v>
      </c>
    </row>
    <row r="171" spans="1:4" x14ac:dyDescent="0.3">
      <c r="A171" t="s">
        <v>2937</v>
      </c>
      <c r="B171" t="s">
        <v>1471</v>
      </c>
      <c r="C171" t="s">
        <v>1471</v>
      </c>
      <c r="D171" t="str">
        <f>_xlfn.TEXTBEFORE(Tabla5[[#This Row],[archivo]],"/")</f>
        <v>andres_suarez</v>
      </c>
    </row>
    <row r="172" spans="1:4" x14ac:dyDescent="0.3">
      <c r="A172" t="s">
        <v>2938</v>
      </c>
      <c r="B172" t="s">
        <v>2672</v>
      </c>
      <c r="C172" t="s">
        <v>2672</v>
      </c>
      <c r="D172" t="str">
        <f>_xlfn.TEXTBEFORE(Tabla5[[#This Row],[archivo]],"/")</f>
        <v>andres_suarez</v>
      </c>
    </row>
    <row r="173" spans="1:4" x14ac:dyDescent="0.3">
      <c r="A173" t="s">
        <v>2939</v>
      </c>
      <c r="B173" t="s">
        <v>1463</v>
      </c>
      <c r="C173" t="s">
        <v>1463</v>
      </c>
      <c r="D173" t="str">
        <f>_xlfn.TEXTBEFORE(Tabla5[[#This Row],[archivo]],"/")</f>
        <v>andres_suarez</v>
      </c>
    </row>
    <row r="174" spans="1:4" x14ac:dyDescent="0.3">
      <c r="A174" t="s">
        <v>2940</v>
      </c>
      <c r="B174" t="s">
        <v>1435</v>
      </c>
      <c r="C174" t="s">
        <v>1435</v>
      </c>
      <c r="D174" t="str">
        <f>_xlfn.TEXTBEFORE(Tabla5[[#This Row],[archivo]],"/")</f>
        <v>andres_suarez</v>
      </c>
    </row>
    <row r="175" spans="1:4" x14ac:dyDescent="0.3">
      <c r="A175" t="s">
        <v>2941</v>
      </c>
      <c r="B175" t="s">
        <v>185</v>
      </c>
      <c r="C175" t="s">
        <v>185</v>
      </c>
      <c r="D175" t="str">
        <f>_xlfn.TEXTBEFORE(Tabla5[[#This Row],[archivo]],"/")</f>
        <v>andres_suarez</v>
      </c>
    </row>
    <row r="176" spans="1:4" x14ac:dyDescent="0.3">
      <c r="A176" t="s">
        <v>2942</v>
      </c>
      <c r="B176" t="s">
        <v>1455</v>
      </c>
      <c r="C176" t="s">
        <v>1455</v>
      </c>
      <c r="D176" t="str">
        <f>_xlfn.TEXTBEFORE(Tabla5[[#This Row],[archivo]],"/")</f>
        <v>andres_suarez</v>
      </c>
    </row>
    <row r="177" spans="1:4" x14ac:dyDescent="0.3">
      <c r="A177" t="s">
        <v>2943</v>
      </c>
      <c r="B177" t="s">
        <v>2439</v>
      </c>
      <c r="C177" t="s">
        <v>2439</v>
      </c>
      <c r="D177" t="str">
        <f>_xlfn.TEXTBEFORE(Tabla5[[#This Row],[archivo]],"/")</f>
        <v>andres_suarez</v>
      </c>
    </row>
    <row r="178" spans="1:4" x14ac:dyDescent="0.3">
      <c r="A178" t="s">
        <v>2944</v>
      </c>
      <c r="B178" t="s">
        <v>1763</v>
      </c>
      <c r="C178" t="s">
        <v>1763</v>
      </c>
      <c r="D178" t="str">
        <f>_xlfn.TEXTBEFORE(Tabla5[[#This Row],[archivo]],"/")</f>
        <v>ella_baila_sola</v>
      </c>
    </row>
    <row r="179" spans="1:4" x14ac:dyDescent="0.3">
      <c r="A179" t="s">
        <v>2945</v>
      </c>
      <c r="B179" t="s">
        <v>1743</v>
      </c>
      <c r="C179" t="s">
        <v>1743</v>
      </c>
      <c r="D179" t="str">
        <f>_xlfn.TEXTBEFORE(Tabla5[[#This Row],[archivo]],"/")</f>
        <v>ella_baila_sola</v>
      </c>
    </row>
    <row r="180" spans="1:4" x14ac:dyDescent="0.3">
      <c r="A180" t="s">
        <v>2946</v>
      </c>
      <c r="B180" t="s">
        <v>2673</v>
      </c>
      <c r="C180" t="s">
        <v>2673</v>
      </c>
      <c r="D180" t="str">
        <f>_xlfn.TEXTBEFORE(Tabla5[[#This Row],[archivo]],"/")</f>
        <v>ella_baila_sola</v>
      </c>
    </row>
    <row r="181" spans="1:4" x14ac:dyDescent="0.3">
      <c r="A181" t="s">
        <v>2947</v>
      </c>
      <c r="B181" t="s">
        <v>1765</v>
      </c>
      <c r="C181" t="s">
        <v>1765</v>
      </c>
      <c r="D181" t="str">
        <f>_xlfn.TEXTBEFORE(Tabla5[[#This Row],[archivo]],"/")</f>
        <v>ella_baila_sola</v>
      </c>
    </row>
    <row r="182" spans="1:4" x14ac:dyDescent="0.3">
      <c r="A182" t="s">
        <v>2948</v>
      </c>
      <c r="B182" t="s">
        <v>1781</v>
      </c>
      <c r="C182" t="s">
        <v>1781</v>
      </c>
      <c r="D182" t="str">
        <f>_xlfn.TEXTBEFORE(Tabla5[[#This Row],[archivo]],"/")</f>
        <v>ella_baila_sola</v>
      </c>
    </row>
    <row r="183" spans="1:4" x14ac:dyDescent="0.3">
      <c r="A183" t="s">
        <v>2949</v>
      </c>
      <c r="B183" t="s">
        <v>1748</v>
      </c>
      <c r="C183" t="s">
        <v>1748</v>
      </c>
      <c r="D183" t="str">
        <f>_xlfn.TEXTBEFORE(Tabla5[[#This Row],[archivo]],"/")</f>
        <v>ella_baila_sola</v>
      </c>
    </row>
    <row r="184" spans="1:4" x14ac:dyDescent="0.3">
      <c r="A184" t="s">
        <v>2950</v>
      </c>
      <c r="B184" t="s">
        <v>1759</v>
      </c>
      <c r="C184" t="s">
        <v>1759</v>
      </c>
      <c r="D184" t="str">
        <f>_xlfn.TEXTBEFORE(Tabla5[[#This Row],[archivo]],"/")</f>
        <v>ella_baila_sola</v>
      </c>
    </row>
    <row r="185" spans="1:4" x14ac:dyDescent="0.3">
      <c r="A185" t="s">
        <v>2951</v>
      </c>
      <c r="B185" t="s">
        <v>1775</v>
      </c>
      <c r="C185" t="s">
        <v>1775</v>
      </c>
      <c r="D185" t="str">
        <f>_xlfn.TEXTBEFORE(Tabla5[[#This Row],[archivo]],"/")</f>
        <v>ella_baila_sola</v>
      </c>
    </row>
    <row r="186" spans="1:4" x14ac:dyDescent="0.3">
      <c r="A186" t="s">
        <v>2952</v>
      </c>
      <c r="B186" t="s">
        <v>1768</v>
      </c>
      <c r="C186" t="s">
        <v>1768</v>
      </c>
      <c r="D186" t="str">
        <f>_xlfn.TEXTBEFORE(Tabla5[[#This Row],[archivo]],"/")</f>
        <v>ella_baila_sola</v>
      </c>
    </row>
    <row r="187" spans="1:4" x14ac:dyDescent="0.3">
      <c r="A187" t="s">
        <v>2953</v>
      </c>
      <c r="B187" t="s">
        <v>1769</v>
      </c>
      <c r="C187" t="s">
        <v>1769</v>
      </c>
      <c r="D187" t="str">
        <f>_xlfn.TEXTBEFORE(Tabla5[[#This Row],[archivo]],"/")</f>
        <v>ella_baila_sola</v>
      </c>
    </row>
    <row r="188" spans="1:4" x14ac:dyDescent="0.3">
      <c r="A188" t="s">
        <v>2954</v>
      </c>
      <c r="B188" t="s">
        <v>1788</v>
      </c>
      <c r="C188" t="s">
        <v>1788</v>
      </c>
      <c r="D188" t="str">
        <f>_xlfn.TEXTBEFORE(Tabla5[[#This Row],[archivo]],"/")</f>
        <v>ella_baila_sola</v>
      </c>
    </row>
    <row r="189" spans="1:4" x14ac:dyDescent="0.3">
      <c r="A189" t="s">
        <v>2955</v>
      </c>
      <c r="B189" t="s">
        <v>1761</v>
      </c>
      <c r="C189" t="s">
        <v>1761</v>
      </c>
      <c r="D189" t="str">
        <f>_xlfn.TEXTBEFORE(Tabla5[[#This Row],[archivo]],"/")</f>
        <v>ella_baila_sola</v>
      </c>
    </row>
    <row r="190" spans="1:4" x14ac:dyDescent="0.3">
      <c r="A190" t="s">
        <v>2956</v>
      </c>
      <c r="B190" t="s">
        <v>1745</v>
      </c>
      <c r="C190" t="s">
        <v>1745</v>
      </c>
      <c r="D190" t="str">
        <f>_xlfn.TEXTBEFORE(Tabla5[[#This Row],[archivo]],"/")</f>
        <v>ella_baila_sola</v>
      </c>
    </row>
    <row r="191" spans="1:4" x14ac:dyDescent="0.3">
      <c r="A191" t="s">
        <v>2957</v>
      </c>
      <c r="B191" t="s">
        <v>1767</v>
      </c>
      <c r="C191" t="s">
        <v>1767</v>
      </c>
      <c r="D191" t="str">
        <f>_xlfn.TEXTBEFORE(Tabla5[[#This Row],[archivo]],"/")</f>
        <v>ella_baila_sola</v>
      </c>
    </row>
    <row r="192" spans="1:4" x14ac:dyDescent="0.3">
      <c r="A192" t="s">
        <v>2958</v>
      </c>
      <c r="B192" t="s">
        <v>1751</v>
      </c>
      <c r="C192" t="s">
        <v>1751</v>
      </c>
      <c r="D192" t="str">
        <f>_xlfn.TEXTBEFORE(Tabla5[[#This Row],[archivo]],"/")</f>
        <v>ella_baila_sola</v>
      </c>
    </row>
    <row r="193" spans="1:4" x14ac:dyDescent="0.3">
      <c r="A193" t="s">
        <v>2959</v>
      </c>
      <c r="B193" t="s">
        <v>2008</v>
      </c>
      <c r="C193" t="s">
        <v>2008</v>
      </c>
      <c r="D193" t="str">
        <f>_xlfn.TEXTBEFORE(Tabla5[[#This Row],[archivo]],"/")</f>
        <v>ella_baila_sola</v>
      </c>
    </row>
    <row r="194" spans="1:4" x14ac:dyDescent="0.3">
      <c r="A194" t="s">
        <v>2960</v>
      </c>
      <c r="B194" t="s">
        <v>1772</v>
      </c>
      <c r="C194" t="s">
        <v>1772</v>
      </c>
      <c r="D194" t="str">
        <f>_xlfn.TEXTBEFORE(Tabla5[[#This Row],[archivo]],"/")</f>
        <v>ella_baila_sola</v>
      </c>
    </row>
    <row r="195" spans="1:4" x14ac:dyDescent="0.3">
      <c r="A195" t="s">
        <v>2961</v>
      </c>
      <c r="B195" t="s">
        <v>1755</v>
      </c>
      <c r="C195" t="s">
        <v>1755</v>
      </c>
      <c r="D195" t="str">
        <f>_xlfn.TEXTBEFORE(Tabla5[[#This Row],[archivo]],"/")</f>
        <v>ella_baila_sola</v>
      </c>
    </row>
    <row r="196" spans="1:4" x14ac:dyDescent="0.3">
      <c r="A196" t="s">
        <v>2962</v>
      </c>
      <c r="B196" t="s">
        <v>1750</v>
      </c>
      <c r="C196" t="s">
        <v>1750</v>
      </c>
      <c r="D196" t="str">
        <f>_xlfn.TEXTBEFORE(Tabla5[[#This Row],[archivo]],"/")</f>
        <v>ella_baila_sola</v>
      </c>
    </row>
    <row r="197" spans="1:4" x14ac:dyDescent="0.3">
      <c r="A197" t="s">
        <v>2963</v>
      </c>
      <c r="B197" t="s">
        <v>1758</v>
      </c>
      <c r="C197" t="s">
        <v>1758</v>
      </c>
      <c r="D197" t="str">
        <f>_xlfn.TEXTBEFORE(Tabla5[[#This Row],[archivo]],"/")</f>
        <v>ella_baila_sola</v>
      </c>
    </row>
    <row r="198" spans="1:4" x14ac:dyDescent="0.3">
      <c r="A198" t="s">
        <v>2964</v>
      </c>
      <c r="B198" t="s">
        <v>1760</v>
      </c>
      <c r="C198" t="s">
        <v>1760</v>
      </c>
      <c r="D198" t="str">
        <f>_xlfn.TEXTBEFORE(Tabla5[[#This Row],[archivo]],"/")</f>
        <v>ella_baila_sola</v>
      </c>
    </row>
    <row r="199" spans="1:4" x14ac:dyDescent="0.3">
      <c r="A199" t="s">
        <v>2965</v>
      </c>
      <c r="B199" t="s">
        <v>1779</v>
      </c>
      <c r="C199" t="s">
        <v>1779</v>
      </c>
      <c r="D199" t="str">
        <f>_xlfn.TEXTBEFORE(Tabla5[[#This Row],[archivo]],"/")</f>
        <v>ella_baila_sola</v>
      </c>
    </row>
    <row r="200" spans="1:4" x14ac:dyDescent="0.3">
      <c r="A200" t="s">
        <v>2966</v>
      </c>
      <c r="B200" t="s">
        <v>1766</v>
      </c>
      <c r="C200" t="s">
        <v>1766</v>
      </c>
      <c r="D200" t="str">
        <f>_xlfn.TEXTBEFORE(Tabla5[[#This Row],[archivo]],"/")</f>
        <v>ella_baila_sola</v>
      </c>
    </row>
    <row r="201" spans="1:4" x14ac:dyDescent="0.3">
      <c r="A201" t="s">
        <v>2967</v>
      </c>
      <c r="B201" t="s">
        <v>1786</v>
      </c>
      <c r="C201" t="s">
        <v>1786</v>
      </c>
      <c r="D201" t="str">
        <f>_xlfn.TEXTBEFORE(Tabla5[[#This Row],[archivo]],"/")</f>
        <v>ella_baila_sola</v>
      </c>
    </row>
    <row r="202" spans="1:4" x14ac:dyDescent="0.3">
      <c r="A202" t="s">
        <v>2968</v>
      </c>
      <c r="B202" t="s">
        <v>1773</v>
      </c>
      <c r="C202" t="s">
        <v>1773</v>
      </c>
      <c r="D202" t="str">
        <f>_xlfn.TEXTBEFORE(Tabla5[[#This Row],[archivo]],"/")</f>
        <v>ella_baila_sola</v>
      </c>
    </row>
    <row r="203" spans="1:4" x14ac:dyDescent="0.3">
      <c r="A203" t="s">
        <v>2969</v>
      </c>
      <c r="B203" t="s">
        <v>1785</v>
      </c>
      <c r="C203" t="s">
        <v>1785</v>
      </c>
      <c r="D203" t="str">
        <f>_xlfn.TEXTBEFORE(Tabla5[[#This Row],[archivo]],"/")</f>
        <v>ella_baila_sola</v>
      </c>
    </row>
    <row r="204" spans="1:4" x14ac:dyDescent="0.3">
      <c r="A204" t="s">
        <v>2970</v>
      </c>
      <c r="B204" t="s">
        <v>1742</v>
      </c>
      <c r="C204" t="s">
        <v>1742</v>
      </c>
      <c r="D204" t="str">
        <f>_xlfn.TEXTBEFORE(Tabla5[[#This Row],[archivo]],"/")</f>
        <v>ella_baila_sola</v>
      </c>
    </row>
    <row r="205" spans="1:4" x14ac:dyDescent="0.3">
      <c r="A205" t="s">
        <v>2971</v>
      </c>
      <c r="B205" t="s">
        <v>1778</v>
      </c>
      <c r="C205" t="s">
        <v>1778</v>
      </c>
      <c r="D205" t="str">
        <f>_xlfn.TEXTBEFORE(Tabla5[[#This Row],[archivo]],"/")</f>
        <v>ella_baila_sola</v>
      </c>
    </row>
    <row r="206" spans="1:4" x14ac:dyDescent="0.3">
      <c r="A206" t="s">
        <v>2972</v>
      </c>
      <c r="B206" t="s">
        <v>1741</v>
      </c>
      <c r="C206" t="s">
        <v>1741</v>
      </c>
      <c r="D206" t="str">
        <f>_xlfn.TEXTBEFORE(Tabla5[[#This Row],[archivo]],"/")</f>
        <v>ella_baila_sola</v>
      </c>
    </row>
    <row r="207" spans="1:4" x14ac:dyDescent="0.3">
      <c r="A207" t="s">
        <v>2973</v>
      </c>
      <c r="B207" t="s">
        <v>1762</v>
      </c>
      <c r="C207" t="s">
        <v>1762</v>
      </c>
      <c r="D207" t="str">
        <f>_xlfn.TEXTBEFORE(Tabla5[[#This Row],[archivo]],"/")</f>
        <v>ella_baila_sola</v>
      </c>
    </row>
    <row r="208" spans="1:4" x14ac:dyDescent="0.3">
      <c r="A208" t="s">
        <v>2974</v>
      </c>
      <c r="B208" t="s">
        <v>1749</v>
      </c>
      <c r="C208" t="s">
        <v>1749</v>
      </c>
      <c r="D208" t="str">
        <f>_xlfn.TEXTBEFORE(Tabla5[[#This Row],[archivo]],"/")</f>
        <v>ella_baila_sola</v>
      </c>
    </row>
    <row r="209" spans="1:4" x14ac:dyDescent="0.3">
      <c r="A209" t="s">
        <v>2975</v>
      </c>
      <c r="B209" t="s">
        <v>1752</v>
      </c>
      <c r="C209" t="s">
        <v>1752</v>
      </c>
      <c r="D209" t="str">
        <f>_xlfn.TEXTBEFORE(Tabla5[[#This Row],[archivo]],"/")</f>
        <v>ella_baila_sola</v>
      </c>
    </row>
    <row r="210" spans="1:4" x14ac:dyDescent="0.3">
      <c r="A210" t="s">
        <v>2976</v>
      </c>
      <c r="B210" t="s">
        <v>1764</v>
      </c>
      <c r="C210" t="s">
        <v>1764</v>
      </c>
      <c r="D210" t="str">
        <f>_xlfn.TEXTBEFORE(Tabla5[[#This Row],[archivo]],"/")</f>
        <v>ella_baila_sola</v>
      </c>
    </row>
    <row r="211" spans="1:4" x14ac:dyDescent="0.3">
      <c r="A211" t="s">
        <v>2977</v>
      </c>
      <c r="B211" t="s">
        <v>1747</v>
      </c>
      <c r="C211" t="s">
        <v>1747</v>
      </c>
      <c r="D211" t="str">
        <f>_xlfn.TEXTBEFORE(Tabla5[[#This Row],[archivo]],"/")</f>
        <v>ella_baila_sola</v>
      </c>
    </row>
    <row r="212" spans="1:4" x14ac:dyDescent="0.3">
      <c r="A212" t="s">
        <v>2978</v>
      </c>
      <c r="B212" t="s">
        <v>1774</v>
      </c>
      <c r="C212" t="s">
        <v>1774</v>
      </c>
      <c r="D212" t="str">
        <f>_xlfn.TEXTBEFORE(Tabla5[[#This Row],[archivo]],"/")</f>
        <v>ella_baila_sola</v>
      </c>
    </row>
    <row r="213" spans="1:4" x14ac:dyDescent="0.3">
      <c r="A213" t="s">
        <v>2979</v>
      </c>
      <c r="B213" t="s">
        <v>1756</v>
      </c>
      <c r="C213" t="s">
        <v>1756</v>
      </c>
      <c r="D213" t="str">
        <f>_xlfn.TEXTBEFORE(Tabla5[[#This Row],[archivo]],"/")</f>
        <v>ella_baila_sola</v>
      </c>
    </row>
    <row r="214" spans="1:4" x14ac:dyDescent="0.3">
      <c r="A214" t="s">
        <v>2980</v>
      </c>
      <c r="B214" t="s">
        <v>538</v>
      </c>
      <c r="C214" t="s">
        <v>538</v>
      </c>
      <c r="D214" t="str">
        <f>_xlfn.TEXTBEFORE(Tabla5[[#This Row],[archivo]],"/")</f>
        <v>ella_baila_sola</v>
      </c>
    </row>
    <row r="215" spans="1:4" x14ac:dyDescent="0.3">
      <c r="A215" t="s">
        <v>2981</v>
      </c>
      <c r="B215" t="s">
        <v>1754</v>
      </c>
      <c r="C215" t="s">
        <v>1754</v>
      </c>
      <c r="D215" t="str">
        <f>_xlfn.TEXTBEFORE(Tabla5[[#This Row],[archivo]],"/")</f>
        <v>ella_baila_sola</v>
      </c>
    </row>
    <row r="216" spans="1:4" x14ac:dyDescent="0.3">
      <c r="A216" t="s">
        <v>2982</v>
      </c>
      <c r="B216" t="s">
        <v>1746</v>
      </c>
      <c r="C216" t="s">
        <v>1746</v>
      </c>
      <c r="D216" t="str">
        <f>_xlfn.TEXTBEFORE(Tabla5[[#This Row],[archivo]],"/")</f>
        <v>ella_baila_sola</v>
      </c>
    </row>
    <row r="217" spans="1:4" x14ac:dyDescent="0.3">
      <c r="A217" t="s">
        <v>2983</v>
      </c>
      <c r="B217" t="s">
        <v>1776</v>
      </c>
      <c r="C217" t="s">
        <v>1776</v>
      </c>
      <c r="D217" t="str">
        <f>_xlfn.TEXTBEFORE(Tabla5[[#This Row],[archivo]],"/")</f>
        <v>ella_baila_sola</v>
      </c>
    </row>
    <row r="218" spans="1:4" x14ac:dyDescent="0.3">
      <c r="A218" t="s">
        <v>2984</v>
      </c>
      <c r="B218" t="s">
        <v>1782</v>
      </c>
      <c r="C218" t="s">
        <v>1782</v>
      </c>
      <c r="D218" t="str">
        <f>_xlfn.TEXTBEFORE(Tabla5[[#This Row],[archivo]],"/")</f>
        <v>ella_baila_sola</v>
      </c>
    </row>
    <row r="219" spans="1:4" x14ac:dyDescent="0.3">
      <c r="A219" t="s">
        <v>2985</v>
      </c>
      <c r="B219" t="s">
        <v>1771</v>
      </c>
      <c r="C219" t="s">
        <v>1771</v>
      </c>
      <c r="D219" t="str">
        <f>_xlfn.TEXTBEFORE(Tabla5[[#This Row],[archivo]],"/")</f>
        <v>ella_baila_sola</v>
      </c>
    </row>
    <row r="220" spans="1:4" x14ac:dyDescent="0.3">
      <c r="A220" t="s">
        <v>2986</v>
      </c>
      <c r="B220" t="s">
        <v>1777</v>
      </c>
      <c r="C220" t="s">
        <v>1777</v>
      </c>
      <c r="D220" t="str">
        <f>_xlfn.TEXTBEFORE(Tabla5[[#This Row],[archivo]],"/")</f>
        <v>ella_baila_sola</v>
      </c>
    </row>
    <row r="221" spans="1:4" x14ac:dyDescent="0.3">
      <c r="A221" t="s">
        <v>2987</v>
      </c>
      <c r="B221" t="s">
        <v>1757</v>
      </c>
      <c r="C221" t="s">
        <v>1757</v>
      </c>
      <c r="D221" t="str">
        <f>_xlfn.TEXTBEFORE(Tabla5[[#This Row],[archivo]],"/")</f>
        <v>ella_baila_sola</v>
      </c>
    </row>
    <row r="222" spans="1:4" x14ac:dyDescent="0.3">
      <c r="A222" t="s">
        <v>2988</v>
      </c>
      <c r="B222" t="s">
        <v>1770</v>
      </c>
      <c r="C222" t="s">
        <v>1770</v>
      </c>
      <c r="D222" t="str">
        <f>_xlfn.TEXTBEFORE(Tabla5[[#This Row],[archivo]],"/")</f>
        <v>ella_baila_sola</v>
      </c>
    </row>
    <row r="223" spans="1:4" x14ac:dyDescent="0.3">
      <c r="A223" t="s">
        <v>2989</v>
      </c>
      <c r="B223" t="s">
        <v>1787</v>
      </c>
      <c r="C223" t="s">
        <v>1787</v>
      </c>
      <c r="D223" t="str">
        <f>_xlfn.TEXTBEFORE(Tabla5[[#This Row],[archivo]],"/")</f>
        <v>ella_baila_sola</v>
      </c>
    </row>
    <row r="224" spans="1:4" x14ac:dyDescent="0.3">
      <c r="A224" t="s">
        <v>2990</v>
      </c>
      <c r="B224" t="s">
        <v>1029</v>
      </c>
      <c r="C224" t="s">
        <v>1029</v>
      </c>
      <c r="D224" t="str">
        <f>_xlfn.TEXTBEFORE(Tabla5[[#This Row],[archivo]],"/")</f>
        <v>ella_baila_sola</v>
      </c>
    </row>
    <row r="225" spans="1:4" x14ac:dyDescent="0.3">
      <c r="A225" t="s">
        <v>2991</v>
      </c>
      <c r="B225" t="s">
        <v>1783</v>
      </c>
      <c r="C225" t="s">
        <v>1783</v>
      </c>
      <c r="D225" t="str">
        <f>_xlfn.TEXTBEFORE(Tabla5[[#This Row],[archivo]],"/")</f>
        <v>ella_baila_sola</v>
      </c>
    </row>
    <row r="226" spans="1:4" x14ac:dyDescent="0.3">
      <c r="A226" t="s">
        <v>2992</v>
      </c>
      <c r="B226" t="s">
        <v>1744</v>
      </c>
      <c r="C226" t="s">
        <v>1744</v>
      </c>
      <c r="D226" t="str">
        <f>_xlfn.TEXTBEFORE(Tabla5[[#This Row],[archivo]],"/")</f>
        <v>ella_baila_sola</v>
      </c>
    </row>
    <row r="227" spans="1:4" x14ac:dyDescent="0.3">
      <c r="A227" t="s">
        <v>2993</v>
      </c>
      <c r="B227" t="s">
        <v>1784</v>
      </c>
      <c r="C227" t="s">
        <v>1784</v>
      </c>
      <c r="D227" t="str">
        <f>_xlfn.TEXTBEFORE(Tabla5[[#This Row],[archivo]],"/")</f>
        <v>ella_baila_sola</v>
      </c>
    </row>
    <row r="228" spans="1:4" x14ac:dyDescent="0.3">
      <c r="A228" t="s">
        <v>2994</v>
      </c>
      <c r="B228" t="s">
        <v>1753</v>
      </c>
      <c r="C228" t="s">
        <v>1753</v>
      </c>
      <c r="D228" t="str">
        <f>_xlfn.TEXTBEFORE(Tabla5[[#This Row],[archivo]],"/")</f>
        <v>ella_baila_sola</v>
      </c>
    </row>
    <row r="229" spans="1:4" x14ac:dyDescent="0.3">
      <c r="A229" t="s">
        <v>2995</v>
      </c>
      <c r="B229" t="s">
        <v>652</v>
      </c>
      <c r="C229" t="s">
        <v>652</v>
      </c>
      <c r="D229" t="str">
        <f>_xlfn.TEXTBEFORE(Tabla5[[#This Row],[archivo]],"/")</f>
        <v>el_canto_del_loco</v>
      </c>
    </row>
    <row r="230" spans="1:4" x14ac:dyDescent="0.3">
      <c r="A230" t="s">
        <v>2996</v>
      </c>
      <c r="B230" t="s">
        <v>667</v>
      </c>
      <c r="C230" t="s">
        <v>667</v>
      </c>
      <c r="D230" t="str">
        <f>_xlfn.TEXTBEFORE(Tabla5[[#This Row],[archivo]],"/")</f>
        <v>el_canto_del_loco</v>
      </c>
    </row>
    <row r="231" spans="1:4" x14ac:dyDescent="0.3">
      <c r="A231" t="s">
        <v>2997</v>
      </c>
      <c r="B231" t="s">
        <v>666</v>
      </c>
      <c r="C231" t="s">
        <v>666</v>
      </c>
      <c r="D231" t="str">
        <f>_xlfn.TEXTBEFORE(Tabla5[[#This Row],[archivo]],"/")</f>
        <v>el_canto_del_loco</v>
      </c>
    </row>
    <row r="232" spans="1:4" x14ac:dyDescent="0.3">
      <c r="A232" t="s">
        <v>2998</v>
      </c>
      <c r="B232" t="s">
        <v>628</v>
      </c>
      <c r="C232" t="s">
        <v>628</v>
      </c>
      <c r="D232" t="str">
        <f>_xlfn.TEXTBEFORE(Tabla5[[#This Row],[archivo]],"/")</f>
        <v>el_canto_del_loco</v>
      </c>
    </row>
    <row r="233" spans="1:4" x14ac:dyDescent="0.3">
      <c r="A233" t="s">
        <v>2999</v>
      </c>
      <c r="B233" t="s">
        <v>664</v>
      </c>
      <c r="C233" t="s">
        <v>664</v>
      </c>
      <c r="D233" t="str">
        <f>_xlfn.TEXTBEFORE(Tabla5[[#This Row],[archivo]],"/")</f>
        <v>el_canto_del_loco</v>
      </c>
    </row>
    <row r="234" spans="1:4" x14ac:dyDescent="0.3">
      <c r="A234" t="s">
        <v>3000</v>
      </c>
      <c r="B234" t="s">
        <v>622</v>
      </c>
      <c r="C234" t="s">
        <v>622</v>
      </c>
      <c r="D234" t="str">
        <f>_xlfn.TEXTBEFORE(Tabla5[[#This Row],[archivo]],"/")</f>
        <v>el_canto_del_loco</v>
      </c>
    </row>
    <row r="235" spans="1:4" x14ac:dyDescent="0.3">
      <c r="A235" t="s">
        <v>3001</v>
      </c>
      <c r="B235" t="s">
        <v>645</v>
      </c>
      <c r="C235" t="s">
        <v>645</v>
      </c>
      <c r="D235" t="str">
        <f>_xlfn.TEXTBEFORE(Tabla5[[#This Row],[archivo]],"/")</f>
        <v>el_canto_del_loco</v>
      </c>
    </row>
    <row r="236" spans="1:4" x14ac:dyDescent="0.3">
      <c r="A236" t="s">
        <v>3002</v>
      </c>
      <c r="B236" t="s">
        <v>616</v>
      </c>
      <c r="C236" t="s">
        <v>616</v>
      </c>
      <c r="D236" t="str">
        <f>_xlfn.TEXTBEFORE(Tabla5[[#This Row],[archivo]],"/")</f>
        <v>el_canto_del_loco</v>
      </c>
    </row>
    <row r="237" spans="1:4" x14ac:dyDescent="0.3">
      <c r="A237" t="s">
        <v>3003</v>
      </c>
      <c r="B237" t="s">
        <v>641</v>
      </c>
      <c r="C237" t="s">
        <v>641</v>
      </c>
      <c r="D237" t="str">
        <f>_xlfn.TEXTBEFORE(Tabla5[[#This Row],[archivo]],"/")</f>
        <v>el_canto_del_loco</v>
      </c>
    </row>
    <row r="238" spans="1:4" x14ac:dyDescent="0.3">
      <c r="A238" t="s">
        <v>3004</v>
      </c>
      <c r="B238" t="s">
        <v>636</v>
      </c>
      <c r="C238" t="s">
        <v>636</v>
      </c>
      <c r="D238" t="str">
        <f>_xlfn.TEXTBEFORE(Tabla5[[#This Row],[archivo]],"/")</f>
        <v>el_canto_del_loco</v>
      </c>
    </row>
    <row r="239" spans="1:4" x14ac:dyDescent="0.3">
      <c r="A239" t="s">
        <v>3005</v>
      </c>
      <c r="B239" t="s">
        <v>373</v>
      </c>
      <c r="C239" t="s">
        <v>373</v>
      </c>
      <c r="D239" t="str">
        <f>_xlfn.TEXTBEFORE(Tabla5[[#This Row],[archivo]],"/")</f>
        <v>el_canto_del_loco</v>
      </c>
    </row>
    <row r="240" spans="1:4" x14ac:dyDescent="0.3">
      <c r="A240" t="s">
        <v>3006</v>
      </c>
      <c r="B240" t="s">
        <v>651</v>
      </c>
      <c r="C240" t="s">
        <v>651</v>
      </c>
      <c r="D240" t="str">
        <f>_xlfn.TEXTBEFORE(Tabla5[[#This Row],[archivo]],"/")</f>
        <v>el_canto_del_loco</v>
      </c>
    </row>
    <row r="241" spans="1:4" x14ac:dyDescent="0.3">
      <c r="A241" t="s">
        <v>3007</v>
      </c>
      <c r="B241" t="s">
        <v>627</v>
      </c>
      <c r="C241" t="s">
        <v>627</v>
      </c>
      <c r="D241" t="str">
        <f>_xlfn.TEXTBEFORE(Tabla5[[#This Row],[archivo]],"/")</f>
        <v>el_canto_del_loco</v>
      </c>
    </row>
    <row r="242" spans="1:4" x14ac:dyDescent="0.3">
      <c r="A242" t="s">
        <v>3008</v>
      </c>
      <c r="B242" t="s">
        <v>633</v>
      </c>
      <c r="C242" t="s">
        <v>633</v>
      </c>
      <c r="D242" t="str">
        <f>_xlfn.TEXTBEFORE(Tabla5[[#This Row],[archivo]],"/")</f>
        <v>el_canto_del_loco</v>
      </c>
    </row>
    <row r="243" spans="1:4" x14ac:dyDescent="0.3">
      <c r="A243" t="s">
        <v>3009</v>
      </c>
      <c r="B243" t="s">
        <v>649</v>
      </c>
      <c r="C243" t="s">
        <v>649</v>
      </c>
      <c r="D243" t="str">
        <f>_xlfn.TEXTBEFORE(Tabla5[[#This Row],[archivo]],"/")</f>
        <v>el_canto_del_loco</v>
      </c>
    </row>
    <row r="244" spans="1:4" x14ac:dyDescent="0.3">
      <c r="A244" t="s">
        <v>3010</v>
      </c>
      <c r="B244" t="s">
        <v>646</v>
      </c>
      <c r="C244" t="s">
        <v>646</v>
      </c>
      <c r="D244" t="str">
        <f>_xlfn.TEXTBEFORE(Tabla5[[#This Row],[archivo]],"/")</f>
        <v>el_canto_del_loco</v>
      </c>
    </row>
    <row r="245" spans="1:4" x14ac:dyDescent="0.3">
      <c r="A245" t="s">
        <v>3011</v>
      </c>
      <c r="B245" t="s">
        <v>657</v>
      </c>
      <c r="C245" t="s">
        <v>657</v>
      </c>
      <c r="D245" t="str">
        <f>_xlfn.TEXTBEFORE(Tabla5[[#This Row],[archivo]],"/")</f>
        <v>el_canto_del_loco</v>
      </c>
    </row>
    <row r="246" spans="1:4" x14ac:dyDescent="0.3">
      <c r="A246" t="s">
        <v>3012</v>
      </c>
      <c r="B246" t="s">
        <v>614</v>
      </c>
      <c r="C246" t="s">
        <v>614</v>
      </c>
      <c r="D246" t="str">
        <f>_xlfn.TEXTBEFORE(Tabla5[[#This Row],[archivo]],"/")</f>
        <v>el_canto_del_loco</v>
      </c>
    </row>
    <row r="247" spans="1:4" x14ac:dyDescent="0.3">
      <c r="A247" t="s">
        <v>3013</v>
      </c>
      <c r="B247" t="s">
        <v>2103</v>
      </c>
      <c r="C247" t="s">
        <v>2103</v>
      </c>
      <c r="D247" t="str">
        <f>_xlfn.TEXTBEFORE(Tabla5[[#This Row],[archivo]],"/")</f>
        <v>el_canto_del_loco</v>
      </c>
    </row>
    <row r="248" spans="1:4" x14ac:dyDescent="0.3">
      <c r="A248" t="s">
        <v>3014</v>
      </c>
      <c r="B248" t="s">
        <v>637</v>
      </c>
      <c r="C248" t="s">
        <v>637</v>
      </c>
      <c r="D248" t="str">
        <f>_xlfn.TEXTBEFORE(Tabla5[[#This Row],[archivo]],"/")</f>
        <v>el_canto_del_loco</v>
      </c>
    </row>
    <row r="249" spans="1:4" x14ac:dyDescent="0.3">
      <c r="A249" t="s">
        <v>3015</v>
      </c>
      <c r="B249" t="s">
        <v>653</v>
      </c>
      <c r="C249" t="s">
        <v>653</v>
      </c>
      <c r="D249" t="str">
        <f>_xlfn.TEXTBEFORE(Tabla5[[#This Row],[archivo]],"/")</f>
        <v>el_canto_del_loco</v>
      </c>
    </row>
    <row r="250" spans="1:4" x14ac:dyDescent="0.3">
      <c r="A250" t="s">
        <v>3016</v>
      </c>
      <c r="B250" t="s">
        <v>608</v>
      </c>
      <c r="C250" t="s">
        <v>608</v>
      </c>
      <c r="D250" t="str">
        <f>_xlfn.TEXTBEFORE(Tabla5[[#This Row],[archivo]],"/")</f>
        <v>el_canto_del_loco</v>
      </c>
    </row>
    <row r="251" spans="1:4" x14ac:dyDescent="0.3">
      <c r="A251" t="s">
        <v>3017</v>
      </c>
      <c r="B251" t="s">
        <v>669</v>
      </c>
      <c r="C251" t="s">
        <v>669</v>
      </c>
      <c r="D251" t="str">
        <f>_xlfn.TEXTBEFORE(Tabla5[[#This Row],[archivo]],"/")</f>
        <v>el_canto_del_loco</v>
      </c>
    </row>
    <row r="252" spans="1:4" x14ac:dyDescent="0.3">
      <c r="A252" t="s">
        <v>3018</v>
      </c>
      <c r="B252" t="s">
        <v>656</v>
      </c>
      <c r="C252" t="s">
        <v>656</v>
      </c>
      <c r="D252" t="str">
        <f>_xlfn.TEXTBEFORE(Tabla5[[#This Row],[archivo]],"/")</f>
        <v>el_canto_del_loco</v>
      </c>
    </row>
    <row r="253" spans="1:4" x14ac:dyDescent="0.3">
      <c r="A253" t="s">
        <v>3019</v>
      </c>
      <c r="B253" t="s">
        <v>661</v>
      </c>
      <c r="C253" t="s">
        <v>661</v>
      </c>
      <c r="D253" t="str">
        <f>_xlfn.TEXTBEFORE(Tabla5[[#This Row],[archivo]],"/")</f>
        <v>el_canto_del_loco</v>
      </c>
    </row>
    <row r="254" spans="1:4" x14ac:dyDescent="0.3">
      <c r="A254" t="s">
        <v>3020</v>
      </c>
      <c r="B254" t="s">
        <v>662</v>
      </c>
      <c r="C254" t="s">
        <v>662</v>
      </c>
      <c r="D254" t="str">
        <f>_xlfn.TEXTBEFORE(Tabla5[[#This Row],[archivo]],"/")</f>
        <v>el_canto_del_loco</v>
      </c>
    </row>
    <row r="255" spans="1:4" x14ac:dyDescent="0.3">
      <c r="A255" t="s">
        <v>3021</v>
      </c>
      <c r="B255" t="s">
        <v>611</v>
      </c>
      <c r="C255" t="s">
        <v>611</v>
      </c>
      <c r="D255" t="str">
        <f>_xlfn.TEXTBEFORE(Tabla5[[#This Row],[archivo]],"/")</f>
        <v>el_canto_del_loco</v>
      </c>
    </row>
    <row r="256" spans="1:4" x14ac:dyDescent="0.3">
      <c r="A256" t="s">
        <v>3022</v>
      </c>
      <c r="B256" t="s">
        <v>632</v>
      </c>
      <c r="C256" t="s">
        <v>632</v>
      </c>
      <c r="D256" t="str">
        <f>_xlfn.TEXTBEFORE(Tabla5[[#This Row],[archivo]],"/")</f>
        <v>el_canto_del_loco</v>
      </c>
    </row>
    <row r="257" spans="1:4" x14ac:dyDescent="0.3">
      <c r="A257" t="s">
        <v>3023</v>
      </c>
      <c r="B257" t="s">
        <v>2104</v>
      </c>
      <c r="C257" t="s">
        <v>2104</v>
      </c>
      <c r="D257" t="str">
        <f>_xlfn.TEXTBEFORE(Tabla5[[#This Row],[archivo]],"/")</f>
        <v>el_canto_del_loco</v>
      </c>
    </row>
    <row r="258" spans="1:4" x14ac:dyDescent="0.3">
      <c r="A258" t="s">
        <v>3024</v>
      </c>
      <c r="B258" t="s">
        <v>663</v>
      </c>
      <c r="C258" t="s">
        <v>663</v>
      </c>
      <c r="D258" t="str">
        <f>_xlfn.TEXTBEFORE(Tabla5[[#This Row],[archivo]],"/")</f>
        <v>el_canto_del_loco</v>
      </c>
    </row>
    <row r="259" spans="1:4" x14ac:dyDescent="0.3">
      <c r="A259" t="s">
        <v>3025</v>
      </c>
      <c r="B259" t="s">
        <v>630</v>
      </c>
      <c r="C259" t="s">
        <v>630</v>
      </c>
      <c r="D259" t="str">
        <f>_xlfn.TEXTBEFORE(Tabla5[[#This Row],[archivo]],"/")</f>
        <v>el_canto_del_loco</v>
      </c>
    </row>
    <row r="260" spans="1:4" x14ac:dyDescent="0.3">
      <c r="A260" t="s">
        <v>3026</v>
      </c>
      <c r="B260" t="s">
        <v>659</v>
      </c>
      <c r="C260" t="s">
        <v>659</v>
      </c>
      <c r="D260" t="str">
        <f>_xlfn.TEXTBEFORE(Tabla5[[#This Row],[archivo]],"/")</f>
        <v>el_canto_del_loco</v>
      </c>
    </row>
    <row r="261" spans="1:4" x14ac:dyDescent="0.3">
      <c r="A261" t="s">
        <v>3027</v>
      </c>
      <c r="B261" t="s">
        <v>490</v>
      </c>
      <c r="C261" t="s">
        <v>490</v>
      </c>
      <c r="D261" t="str">
        <f>_xlfn.TEXTBEFORE(Tabla5[[#This Row],[archivo]],"/")</f>
        <v>el_canto_del_loco</v>
      </c>
    </row>
    <row r="262" spans="1:4" x14ac:dyDescent="0.3">
      <c r="A262" t="s">
        <v>3028</v>
      </c>
      <c r="B262" t="s">
        <v>607</v>
      </c>
      <c r="C262" t="s">
        <v>607</v>
      </c>
      <c r="D262" t="str">
        <f>_xlfn.TEXTBEFORE(Tabla5[[#This Row],[archivo]],"/")</f>
        <v>el_canto_del_loco</v>
      </c>
    </row>
    <row r="263" spans="1:4" x14ac:dyDescent="0.3">
      <c r="A263" t="s">
        <v>3029</v>
      </c>
      <c r="B263" t="s">
        <v>2105</v>
      </c>
      <c r="C263" t="s">
        <v>2105</v>
      </c>
      <c r="D263" t="str">
        <f>_xlfn.TEXTBEFORE(Tabla5[[#This Row],[archivo]],"/")</f>
        <v>el_canto_del_loco</v>
      </c>
    </row>
    <row r="264" spans="1:4" x14ac:dyDescent="0.3">
      <c r="A264" t="s">
        <v>3030</v>
      </c>
      <c r="B264" t="s">
        <v>290</v>
      </c>
      <c r="C264" t="s">
        <v>290</v>
      </c>
      <c r="D264" t="str">
        <f>_xlfn.TEXTBEFORE(Tabla5[[#This Row],[archivo]],"/")</f>
        <v>el_canto_del_loco</v>
      </c>
    </row>
    <row r="265" spans="1:4" x14ac:dyDescent="0.3">
      <c r="A265" t="s">
        <v>3031</v>
      </c>
      <c r="B265" t="s">
        <v>2674</v>
      </c>
      <c r="C265" t="s">
        <v>2674</v>
      </c>
      <c r="D265" t="str">
        <f>_xlfn.TEXTBEFORE(Tabla5[[#This Row],[archivo]],"/")</f>
        <v>el_canto_del_loco</v>
      </c>
    </row>
    <row r="266" spans="1:4" x14ac:dyDescent="0.3">
      <c r="A266" t="s">
        <v>3032</v>
      </c>
      <c r="B266" t="s">
        <v>613</v>
      </c>
      <c r="C266" t="s">
        <v>613</v>
      </c>
      <c r="D266" t="str">
        <f>_xlfn.TEXTBEFORE(Tabla5[[#This Row],[archivo]],"/")</f>
        <v>el_canto_del_loco</v>
      </c>
    </row>
    <row r="267" spans="1:4" x14ac:dyDescent="0.3">
      <c r="A267" t="s">
        <v>3033</v>
      </c>
      <c r="B267" t="s">
        <v>639</v>
      </c>
      <c r="C267" t="s">
        <v>639</v>
      </c>
      <c r="D267" t="str">
        <f>_xlfn.TEXTBEFORE(Tabla5[[#This Row],[archivo]],"/")</f>
        <v>el_canto_del_loco</v>
      </c>
    </row>
    <row r="268" spans="1:4" x14ac:dyDescent="0.3">
      <c r="A268" t="s">
        <v>3034</v>
      </c>
      <c r="B268" t="s">
        <v>634</v>
      </c>
      <c r="C268" t="s">
        <v>634</v>
      </c>
      <c r="D268" t="str">
        <f>_xlfn.TEXTBEFORE(Tabla5[[#This Row],[archivo]],"/")</f>
        <v>el_canto_del_loco</v>
      </c>
    </row>
    <row r="269" spans="1:4" x14ac:dyDescent="0.3">
      <c r="A269" t="s">
        <v>3035</v>
      </c>
      <c r="B269" t="s">
        <v>626</v>
      </c>
      <c r="C269" t="s">
        <v>626</v>
      </c>
      <c r="D269" t="str">
        <f>_xlfn.TEXTBEFORE(Tabla5[[#This Row],[archivo]],"/")</f>
        <v>el_canto_del_loco</v>
      </c>
    </row>
    <row r="270" spans="1:4" x14ac:dyDescent="0.3">
      <c r="A270" t="s">
        <v>3036</v>
      </c>
      <c r="B270" t="s">
        <v>609</v>
      </c>
      <c r="C270" t="s">
        <v>609</v>
      </c>
      <c r="D270" t="str">
        <f>_xlfn.TEXTBEFORE(Tabla5[[#This Row],[archivo]],"/")</f>
        <v>el_canto_del_loco</v>
      </c>
    </row>
    <row r="271" spans="1:4" x14ac:dyDescent="0.3">
      <c r="A271" t="s">
        <v>3037</v>
      </c>
      <c r="B271" t="s">
        <v>606</v>
      </c>
      <c r="C271" t="s">
        <v>606</v>
      </c>
      <c r="D271" t="str">
        <f>_xlfn.TEXTBEFORE(Tabla5[[#This Row],[archivo]],"/")</f>
        <v>el_canto_del_loco</v>
      </c>
    </row>
    <row r="272" spans="1:4" x14ac:dyDescent="0.3">
      <c r="A272" t="s">
        <v>3038</v>
      </c>
      <c r="B272" t="s">
        <v>655</v>
      </c>
      <c r="C272" t="s">
        <v>655</v>
      </c>
      <c r="D272" t="str">
        <f>_xlfn.TEXTBEFORE(Tabla5[[#This Row],[archivo]],"/")</f>
        <v>el_canto_del_loco</v>
      </c>
    </row>
    <row r="273" spans="1:4" x14ac:dyDescent="0.3">
      <c r="A273" t="s">
        <v>3039</v>
      </c>
      <c r="B273" t="s">
        <v>372</v>
      </c>
      <c r="C273" t="s">
        <v>372</v>
      </c>
      <c r="D273" t="str">
        <f>_xlfn.TEXTBEFORE(Tabla5[[#This Row],[archivo]],"/")</f>
        <v>el_kanka</v>
      </c>
    </row>
    <row r="274" spans="1:4" x14ac:dyDescent="0.3">
      <c r="A274" t="s">
        <v>3040</v>
      </c>
      <c r="B274" t="s">
        <v>329</v>
      </c>
      <c r="C274" t="s">
        <v>329</v>
      </c>
      <c r="D274" t="str">
        <f>_xlfn.TEXTBEFORE(Tabla5[[#This Row],[archivo]],"/")</f>
        <v>el_kanka</v>
      </c>
    </row>
    <row r="275" spans="1:4" x14ac:dyDescent="0.3">
      <c r="A275" t="s">
        <v>3041</v>
      </c>
      <c r="B275" t="s">
        <v>330</v>
      </c>
      <c r="C275" t="s">
        <v>330</v>
      </c>
      <c r="D275" t="str">
        <f>_xlfn.TEXTBEFORE(Tabla5[[#This Row],[archivo]],"/")</f>
        <v>el_kanka</v>
      </c>
    </row>
    <row r="276" spans="1:4" x14ac:dyDescent="0.3">
      <c r="A276" t="s">
        <v>3042</v>
      </c>
      <c r="B276" t="s">
        <v>1969</v>
      </c>
      <c r="C276" t="s">
        <v>1969</v>
      </c>
      <c r="D276" t="str">
        <f>_xlfn.TEXTBEFORE(Tabla5[[#This Row],[archivo]],"/")</f>
        <v>el_kanka</v>
      </c>
    </row>
    <row r="277" spans="1:4" x14ac:dyDescent="0.3">
      <c r="A277" t="s">
        <v>3043</v>
      </c>
      <c r="B277" t="s">
        <v>331</v>
      </c>
      <c r="C277" t="s">
        <v>331</v>
      </c>
      <c r="D277" t="str">
        <f>_xlfn.TEXTBEFORE(Tabla5[[#This Row],[archivo]],"/")</f>
        <v>el_kanka</v>
      </c>
    </row>
    <row r="278" spans="1:4" x14ac:dyDescent="0.3">
      <c r="A278" t="s">
        <v>3044</v>
      </c>
      <c r="B278" t="s">
        <v>327</v>
      </c>
      <c r="C278" t="s">
        <v>327</v>
      </c>
      <c r="D278" t="str">
        <f>_xlfn.TEXTBEFORE(Tabla5[[#This Row],[archivo]],"/")</f>
        <v>el_kanka</v>
      </c>
    </row>
    <row r="279" spans="1:4" x14ac:dyDescent="0.3">
      <c r="A279" t="s">
        <v>3045</v>
      </c>
      <c r="B279" t="s">
        <v>328</v>
      </c>
      <c r="C279" t="s">
        <v>328</v>
      </c>
      <c r="D279" t="str">
        <f>_xlfn.TEXTBEFORE(Tabla5[[#This Row],[archivo]],"/")</f>
        <v>el_kanka</v>
      </c>
    </row>
    <row r="280" spans="1:4" x14ac:dyDescent="0.3">
      <c r="A280" t="s">
        <v>3046</v>
      </c>
      <c r="B280" t="s">
        <v>2383</v>
      </c>
      <c r="C280" t="s">
        <v>2383</v>
      </c>
      <c r="D280" t="str">
        <f>_xlfn.TEXTBEFORE(Tabla5[[#This Row],[archivo]],"/")</f>
        <v>el_kanka</v>
      </c>
    </row>
    <row r="281" spans="1:4" x14ac:dyDescent="0.3">
      <c r="A281" t="s">
        <v>3047</v>
      </c>
      <c r="B281" t="s">
        <v>332</v>
      </c>
      <c r="C281" t="s">
        <v>332</v>
      </c>
      <c r="D281" t="str">
        <f>_xlfn.TEXTBEFORE(Tabla5[[#This Row],[archivo]],"/")</f>
        <v>el_kanka</v>
      </c>
    </row>
    <row r="282" spans="1:4" x14ac:dyDescent="0.3">
      <c r="A282" t="s">
        <v>3048</v>
      </c>
      <c r="B282" t="s">
        <v>2382</v>
      </c>
      <c r="C282" t="s">
        <v>2382</v>
      </c>
      <c r="D282" t="str">
        <f>_xlfn.TEXTBEFORE(Tabla5[[#This Row],[archivo]],"/")</f>
        <v>el_kanka</v>
      </c>
    </row>
    <row r="283" spans="1:4" x14ac:dyDescent="0.3">
      <c r="A283" t="s">
        <v>3049</v>
      </c>
      <c r="B283" t="s">
        <v>333</v>
      </c>
      <c r="C283" t="s">
        <v>333</v>
      </c>
      <c r="D283" t="str">
        <f>_xlfn.TEXTBEFORE(Tabla5[[#This Row],[archivo]],"/")</f>
        <v>el_kanka</v>
      </c>
    </row>
    <row r="284" spans="1:4" x14ac:dyDescent="0.3">
      <c r="A284" t="s">
        <v>3050</v>
      </c>
      <c r="B284" t="s">
        <v>334</v>
      </c>
      <c r="C284" t="s">
        <v>334</v>
      </c>
      <c r="D284" t="str">
        <f>_xlfn.TEXTBEFORE(Tabla5[[#This Row],[archivo]],"/")</f>
        <v>el_kanka</v>
      </c>
    </row>
    <row r="285" spans="1:4" x14ac:dyDescent="0.3">
      <c r="A285" t="s">
        <v>3051</v>
      </c>
      <c r="B285" t="s">
        <v>337</v>
      </c>
      <c r="C285" t="s">
        <v>337</v>
      </c>
      <c r="D285" t="str">
        <f>_xlfn.TEXTBEFORE(Tabla5[[#This Row],[archivo]],"/")</f>
        <v>el_kanka</v>
      </c>
    </row>
    <row r="286" spans="1:4" x14ac:dyDescent="0.3">
      <c r="A286" t="s">
        <v>3052</v>
      </c>
      <c r="B286" t="s">
        <v>373</v>
      </c>
      <c r="C286" t="s">
        <v>373</v>
      </c>
      <c r="D286" t="str">
        <f>_xlfn.TEXTBEFORE(Tabla5[[#This Row],[archivo]],"/")</f>
        <v>el_kanka</v>
      </c>
    </row>
    <row r="287" spans="1:4" x14ac:dyDescent="0.3">
      <c r="A287" t="s">
        <v>3053</v>
      </c>
      <c r="B287" t="s">
        <v>335</v>
      </c>
      <c r="C287" t="s">
        <v>335</v>
      </c>
      <c r="D287" t="str">
        <f>_xlfn.TEXTBEFORE(Tabla5[[#This Row],[archivo]],"/")</f>
        <v>el_kanka</v>
      </c>
    </row>
    <row r="288" spans="1:4" x14ac:dyDescent="0.3">
      <c r="A288" t="s">
        <v>3054</v>
      </c>
      <c r="B288" t="s">
        <v>336</v>
      </c>
      <c r="C288" t="s">
        <v>336</v>
      </c>
      <c r="D288" t="str">
        <f>_xlfn.TEXTBEFORE(Tabla5[[#This Row],[archivo]],"/")</f>
        <v>el_kanka</v>
      </c>
    </row>
    <row r="289" spans="1:4" x14ac:dyDescent="0.3">
      <c r="A289" t="s">
        <v>3055</v>
      </c>
      <c r="B289" t="s">
        <v>2391</v>
      </c>
      <c r="C289" t="s">
        <v>2391</v>
      </c>
      <c r="D289" t="str">
        <f>_xlfn.TEXTBEFORE(Tabla5[[#This Row],[archivo]],"/")</f>
        <v>el_kanka</v>
      </c>
    </row>
    <row r="290" spans="1:4" x14ac:dyDescent="0.3">
      <c r="A290" t="s">
        <v>3056</v>
      </c>
      <c r="B290" t="s">
        <v>339</v>
      </c>
      <c r="C290" t="s">
        <v>339</v>
      </c>
      <c r="D290" t="str">
        <f>_xlfn.TEXTBEFORE(Tabla5[[#This Row],[archivo]],"/")</f>
        <v>el_kanka</v>
      </c>
    </row>
    <row r="291" spans="1:4" x14ac:dyDescent="0.3">
      <c r="A291" t="s">
        <v>3057</v>
      </c>
      <c r="B291" t="s">
        <v>340</v>
      </c>
      <c r="C291" t="s">
        <v>340</v>
      </c>
      <c r="D291" t="str">
        <f>_xlfn.TEXTBEFORE(Tabla5[[#This Row],[archivo]],"/")</f>
        <v>el_kanka</v>
      </c>
    </row>
    <row r="292" spans="1:4" x14ac:dyDescent="0.3">
      <c r="A292" t="s">
        <v>3058</v>
      </c>
      <c r="B292" t="s">
        <v>341</v>
      </c>
      <c r="C292" t="s">
        <v>341</v>
      </c>
      <c r="D292" t="str">
        <f>_xlfn.TEXTBEFORE(Tabla5[[#This Row],[archivo]],"/")</f>
        <v>el_kanka</v>
      </c>
    </row>
    <row r="293" spans="1:4" x14ac:dyDescent="0.3">
      <c r="A293" t="s">
        <v>3059</v>
      </c>
      <c r="B293" t="s">
        <v>342</v>
      </c>
      <c r="C293" t="s">
        <v>342</v>
      </c>
      <c r="D293" t="str">
        <f>_xlfn.TEXTBEFORE(Tabla5[[#This Row],[archivo]],"/")</f>
        <v>el_kanka</v>
      </c>
    </row>
    <row r="294" spans="1:4" x14ac:dyDescent="0.3">
      <c r="A294" t="s">
        <v>3060</v>
      </c>
      <c r="B294" t="s">
        <v>338</v>
      </c>
      <c r="C294" t="s">
        <v>338</v>
      </c>
      <c r="D294" t="str">
        <f>_xlfn.TEXTBEFORE(Tabla5[[#This Row],[archivo]],"/")</f>
        <v>el_kanka</v>
      </c>
    </row>
    <row r="295" spans="1:4" x14ac:dyDescent="0.3">
      <c r="A295" t="s">
        <v>3061</v>
      </c>
      <c r="B295" t="s">
        <v>2384</v>
      </c>
      <c r="C295" t="s">
        <v>2384</v>
      </c>
      <c r="D295" t="str">
        <f>_xlfn.TEXTBEFORE(Tabla5[[#This Row],[archivo]],"/")</f>
        <v>el_kanka</v>
      </c>
    </row>
    <row r="296" spans="1:4" x14ac:dyDescent="0.3">
      <c r="A296" t="s">
        <v>3062</v>
      </c>
      <c r="B296" t="s">
        <v>343</v>
      </c>
      <c r="C296" t="s">
        <v>343</v>
      </c>
      <c r="D296" t="str">
        <f>_xlfn.TEXTBEFORE(Tabla5[[#This Row],[archivo]],"/")</f>
        <v>el_kanka</v>
      </c>
    </row>
    <row r="297" spans="1:4" x14ac:dyDescent="0.3">
      <c r="A297" t="s">
        <v>3063</v>
      </c>
      <c r="B297" t="s">
        <v>957</v>
      </c>
      <c r="C297" t="s">
        <v>957</v>
      </c>
      <c r="D297" t="str">
        <f>_xlfn.TEXTBEFORE(Tabla5[[#This Row],[archivo]],"/")</f>
        <v>el_kanka</v>
      </c>
    </row>
    <row r="298" spans="1:4" x14ac:dyDescent="0.3">
      <c r="A298" t="s">
        <v>3064</v>
      </c>
      <c r="B298" t="s">
        <v>344</v>
      </c>
      <c r="C298" t="s">
        <v>344</v>
      </c>
      <c r="D298" t="str">
        <f>_xlfn.TEXTBEFORE(Tabla5[[#This Row],[archivo]],"/")</f>
        <v>el_kanka</v>
      </c>
    </row>
    <row r="299" spans="1:4" x14ac:dyDescent="0.3">
      <c r="A299" t="s">
        <v>3065</v>
      </c>
      <c r="B299" t="s">
        <v>374</v>
      </c>
      <c r="C299" t="s">
        <v>374</v>
      </c>
      <c r="D299" t="str">
        <f>_xlfn.TEXTBEFORE(Tabla5[[#This Row],[archivo]],"/")</f>
        <v>el_kanka</v>
      </c>
    </row>
    <row r="300" spans="1:4" x14ac:dyDescent="0.3">
      <c r="A300" t="s">
        <v>3066</v>
      </c>
      <c r="B300" t="s">
        <v>345</v>
      </c>
      <c r="C300" t="s">
        <v>345</v>
      </c>
      <c r="D300" t="str">
        <f>_xlfn.TEXTBEFORE(Tabla5[[#This Row],[archivo]],"/")</f>
        <v>el_kanka</v>
      </c>
    </row>
    <row r="301" spans="1:4" x14ac:dyDescent="0.3">
      <c r="A301" t="s">
        <v>3067</v>
      </c>
      <c r="B301" t="s">
        <v>2386</v>
      </c>
      <c r="C301" t="s">
        <v>2386</v>
      </c>
      <c r="D301" t="str">
        <f>_xlfn.TEXTBEFORE(Tabla5[[#This Row],[archivo]],"/")</f>
        <v>el_kanka</v>
      </c>
    </row>
    <row r="302" spans="1:4" x14ac:dyDescent="0.3">
      <c r="A302" t="s">
        <v>3068</v>
      </c>
      <c r="B302" t="s">
        <v>346</v>
      </c>
      <c r="C302" t="s">
        <v>346</v>
      </c>
      <c r="D302" t="str">
        <f>_xlfn.TEXTBEFORE(Tabla5[[#This Row],[archivo]],"/")</f>
        <v>el_kanka</v>
      </c>
    </row>
    <row r="303" spans="1:4" x14ac:dyDescent="0.3">
      <c r="A303" t="s">
        <v>3069</v>
      </c>
      <c r="B303" t="s">
        <v>347</v>
      </c>
      <c r="C303" t="s">
        <v>347</v>
      </c>
      <c r="D303" t="str">
        <f>_xlfn.TEXTBEFORE(Tabla5[[#This Row],[archivo]],"/")</f>
        <v>el_kanka</v>
      </c>
    </row>
    <row r="304" spans="1:4" x14ac:dyDescent="0.3">
      <c r="A304" t="s">
        <v>3070</v>
      </c>
      <c r="B304" t="s">
        <v>348</v>
      </c>
      <c r="C304" t="s">
        <v>348</v>
      </c>
      <c r="D304" t="str">
        <f>_xlfn.TEXTBEFORE(Tabla5[[#This Row],[archivo]],"/")</f>
        <v>el_kanka</v>
      </c>
    </row>
    <row r="305" spans="1:4" x14ac:dyDescent="0.3">
      <c r="A305" t="s">
        <v>3071</v>
      </c>
      <c r="B305" t="s">
        <v>349</v>
      </c>
      <c r="C305" t="s">
        <v>349</v>
      </c>
      <c r="D305" t="str">
        <f>_xlfn.TEXTBEFORE(Tabla5[[#This Row],[archivo]],"/")</f>
        <v>el_kanka</v>
      </c>
    </row>
    <row r="306" spans="1:4" x14ac:dyDescent="0.3">
      <c r="A306" t="s">
        <v>3072</v>
      </c>
      <c r="B306" t="s">
        <v>375</v>
      </c>
      <c r="C306" t="s">
        <v>375</v>
      </c>
      <c r="D306" t="str">
        <f>_xlfn.TEXTBEFORE(Tabla5[[#This Row],[archivo]],"/")</f>
        <v>el_kanka</v>
      </c>
    </row>
    <row r="307" spans="1:4" x14ac:dyDescent="0.3">
      <c r="A307" t="s">
        <v>3073</v>
      </c>
      <c r="B307" t="s">
        <v>165</v>
      </c>
      <c r="C307" t="s">
        <v>165</v>
      </c>
      <c r="D307" t="str">
        <f>_xlfn.TEXTBEFORE(Tabla5[[#This Row],[archivo]],"/")</f>
        <v>el_kanka</v>
      </c>
    </row>
    <row r="308" spans="1:4" x14ac:dyDescent="0.3">
      <c r="A308" t="s">
        <v>3074</v>
      </c>
      <c r="B308" t="s">
        <v>350</v>
      </c>
      <c r="C308" t="s">
        <v>350</v>
      </c>
      <c r="D308" t="str">
        <f>_xlfn.TEXTBEFORE(Tabla5[[#This Row],[archivo]],"/")</f>
        <v>el_kanka</v>
      </c>
    </row>
    <row r="309" spans="1:4" x14ac:dyDescent="0.3">
      <c r="A309" t="s">
        <v>3075</v>
      </c>
      <c r="B309" t="s">
        <v>351</v>
      </c>
      <c r="C309" t="s">
        <v>351</v>
      </c>
      <c r="D309" t="str">
        <f>_xlfn.TEXTBEFORE(Tabla5[[#This Row],[archivo]],"/")</f>
        <v>el_kanka</v>
      </c>
    </row>
    <row r="310" spans="1:4" x14ac:dyDescent="0.3">
      <c r="A310" t="s">
        <v>3076</v>
      </c>
      <c r="B310" t="s">
        <v>352</v>
      </c>
      <c r="C310" t="s">
        <v>352</v>
      </c>
      <c r="D310" t="str">
        <f>_xlfn.TEXTBEFORE(Tabla5[[#This Row],[archivo]],"/")</f>
        <v>el_kanka</v>
      </c>
    </row>
    <row r="311" spans="1:4" x14ac:dyDescent="0.3">
      <c r="A311" t="s">
        <v>3077</v>
      </c>
      <c r="B311" t="s">
        <v>2390</v>
      </c>
      <c r="C311" t="s">
        <v>2390</v>
      </c>
      <c r="D311" t="str">
        <f>_xlfn.TEXTBEFORE(Tabla5[[#This Row],[archivo]],"/")</f>
        <v>el_kanka</v>
      </c>
    </row>
    <row r="312" spans="1:4" x14ac:dyDescent="0.3">
      <c r="A312" t="s">
        <v>3078</v>
      </c>
      <c r="B312" t="s">
        <v>353</v>
      </c>
      <c r="C312" t="s">
        <v>353</v>
      </c>
      <c r="D312" t="str">
        <f>_xlfn.TEXTBEFORE(Tabla5[[#This Row],[archivo]],"/")</f>
        <v>el_kanka</v>
      </c>
    </row>
    <row r="313" spans="1:4" x14ac:dyDescent="0.3">
      <c r="A313" t="s">
        <v>3079</v>
      </c>
      <c r="B313" t="s">
        <v>354</v>
      </c>
      <c r="C313" t="s">
        <v>354</v>
      </c>
      <c r="D313" t="str">
        <f>_xlfn.TEXTBEFORE(Tabla5[[#This Row],[archivo]],"/")</f>
        <v>el_kanka</v>
      </c>
    </row>
    <row r="314" spans="1:4" x14ac:dyDescent="0.3">
      <c r="A314" t="s">
        <v>3080</v>
      </c>
      <c r="B314" t="s">
        <v>355</v>
      </c>
      <c r="C314" t="s">
        <v>355</v>
      </c>
      <c r="D314" t="str">
        <f>_xlfn.TEXTBEFORE(Tabla5[[#This Row],[archivo]],"/")</f>
        <v>el_kanka</v>
      </c>
    </row>
    <row r="315" spans="1:4" x14ac:dyDescent="0.3">
      <c r="A315" t="s">
        <v>3081</v>
      </c>
      <c r="B315" t="s">
        <v>2388</v>
      </c>
      <c r="C315" t="s">
        <v>2388</v>
      </c>
      <c r="D315" t="str">
        <f>_xlfn.TEXTBEFORE(Tabla5[[#This Row],[archivo]],"/")</f>
        <v>el_kanka</v>
      </c>
    </row>
    <row r="316" spans="1:4" x14ac:dyDescent="0.3">
      <c r="A316" t="s">
        <v>3082</v>
      </c>
      <c r="B316" t="s">
        <v>376</v>
      </c>
      <c r="C316" t="s">
        <v>376</v>
      </c>
      <c r="D316" t="str">
        <f>_xlfn.TEXTBEFORE(Tabla5[[#This Row],[archivo]],"/")</f>
        <v>el_kanka</v>
      </c>
    </row>
    <row r="317" spans="1:4" x14ac:dyDescent="0.3">
      <c r="A317" t="s">
        <v>3083</v>
      </c>
      <c r="B317" t="s">
        <v>356</v>
      </c>
      <c r="C317" t="s">
        <v>356</v>
      </c>
      <c r="D317" t="str">
        <f>_xlfn.TEXTBEFORE(Tabla5[[#This Row],[archivo]],"/")</f>
        <v>el_kanka</v>
      </c>
    </row>
    <row r="318" spans="1:4" x14ac:dyDescent="0.3">
      <c r="A318" t="s">
        <v>3084</v>
      </c>
      <c r="B318" t="s">
        <v>357</v>
      </c>
      <c r="C318" t="s">
        <v>357</v>
      </c>
      <c r="D318" t="str">
        <f>_xlfn.TEXTBEFORE(Tabla5[[#This Row],[archivo]],"/")</f>
        <v>el_kanka</v>
      </c>
    </row>
    <row r="319" spans="1:4" x14ac:dyDescent="0.3">
      <c r="A319" t="s">
        <v>3085</v>
      </c>
      <c r="B319" t="s">
        <v>2675</v>
      </c>
      <c r="C319" t="s">
        <v>2675</v>
      </c>
      <c r="D319" t="str">
        <f>_xlfn.TEXTBEFORE(Tabla5[[#This Row],[archivo]],"/")</f>
        <v>el_kanka</v>
      </c>
    </row>
    <row r="320" spans="1:4" x14ac:dyDescent="0.3">
      <c r="A320" t="s">
        <v>3086</v>
      </c>
      <c r="B320" t="s">
        <v>2385</v>
      </c>
      <c r="C320" t="s">
        <v>2385</v>
      </c>
      <c r="D320" t="str">
        <f>_xlfn.TEXTBEFORE(Tabla5[[#This Row],[archivo]],"/")</f>
        <v>el_kanka</v>
      </c>
    </row>
    <row r="321" spans="1:4" x14ac:dyDescent="0.3">
      <c r="A321" t="s">
        <v>3087</v>
      </c>
      <c r="B321" t="s">
        <v>358</v>
      </c>
      <c r="C321" t="s">
        <v>358</v>
      </c>
      <c r="D321" t="str">
        <f>_xlfn.TEXTBEFORE(Tabla5[[#This Row],[archivo]],"/")</f>
        <v>el_kanka</v>
      </c>
    </row>
    <row r="322" spans="1:4" x14ac:dyDescent="0.3">
      <c r="A322" t="s">
        <v>3088</v>
      </c>
      <c r="B322" t="s">
        <v>360</v>
      </c>
      <c r="C322" t="s">
        <v>360</v>
      </c>
      <c r="D322" t="str">
        <f>_xlfn.TEXTBEFORE(Tabla5[[#This Row],[archivo]],"/")</f>
        <v>el_kanka</v>
      </c>
    </row>
    <row r="323" spans="1:4" x14ac:dyDescent="0.3">
      <c r="A323" t="s">
        <v>3089</v>
      </c>
      <c r="B323" t="s">
        <v>359</v>
      </c>
      <c r="C323" t="s">
        <v>359</v>
      </c>
      <c r="D323" t="str">
        <f>_xlfn.TEXTBEFORE(Tabla5[[#This Row],[archivo]],"/")</f>
        <v>el_kanka</v>
      </c>
    </row>
    <row r="324" spans="1:4" x14ac:dyDescent="0.3">
      <c r="A324" t="s">
        <v>3090</v>
      </c>
      <c r="B324" t="s">
        <v>361</v>
      </c>
      <c r="C324" t="s">
        <v>361</v>
      </c>
      <c r="D324" t="str">
        <f>_xlfn.TEXTBEFORE(Tabla5[[#This Row],[archivo]],"/")</f>
        <v>el_kanka</v>
      </c>
    </row>
    <row r="325" spans="1:4" x14ac:dyDescent="0.3">
      <c r="A325" t="s">
        <v>3091</v>
      </c>
      <c r="B325" t="s">
        <v>362</v>
      </c>
      <c r="C325" t="s">
        <v>362</v>
      </c>
      <c r="D325" t="str">
        <f>_xlfn.TEXTBEFORE(Tabla5[[#This Row],[archivo]],"/")</f>
        <v>el_kanka</v>
      </c>
    </row>
    <row r="326" spans="1:4" x14ac:dyDescent="0.3">
      <c r="A326" t="s">
        <v>3092</v>
      </c>
      <c r="B326" t="s">
        <v>363</v>
      </c>
      <c r="C326" t="s">
        <v>363</v>
      </c>
      <c r="D326" t="str">
        <f>_xlfn.TEXTBEFORE(Tabla5[[#This Row],[archivo]],"/")</f>
        <v>el_kanka</v>
      </c>
    </row>
    <row r="327" spans="1:4" x14ac:dyDescent="0.3">
      <c r="A327" t="s">
        <v>3093</v>
      </c>
      <c r="B327" t="s">
        <v>364</v>
      </c>
      <c r="C327" t="s">
        <v>364</v>
      </c>
      <c r="D327" t="str">
        <f>_xlfn.TEXTBEFORE(Tabla5[[#This Row],[archivo]],"/")</f>
        <v>el_kanka</v>
      </c>
    </row>
    <row r="328" spans="1:4" x14ac:dyDescent="0.3">
      <c r="A328" t="s">
        <v>3094</v>
      </c>
      <c r="B328" t="s">
        <v>365</v>
      </c>
      <c r="C328" t="s">
        <v>365</v>
      </c>
      <c r="D328" t="str">
        <f>_xlfn.TEXTBEFORE(Tabla5[[#This Row],[archivo]],"/")</f>
        <v>el_kanka</v>
      </c>
    </row>
    <row r="329" spans="1:4" x14ac:dyDescent="0.3">
      <c r="A329" t="s">
        <v>3095</v>
      </c>
      <c r="B329" t="s">
        <v>2676</v>
      </c>
      <c r="C329" t="s">
        <v>2676</v>
      </c>
      <c r="D329" t="str">
        <f>_xlfn.TEXTBEFORE(Tabla5[[#This Row],[archivo]],"/")</f>
        <v>el_kanka</v>
      </c>
    </row>
    <row r="330" spans="1:4" x14ac:dyDescent="0.3">
      <c r="A330" t="s">
        <v>3096</v>
      </c>
      <c r="B330" t="s">
        <v>367</v>
      </c>
      <c r="C330" t="s">
        <v>367</v>
      </c>
      <c r="D330" t="str">
        <f>_xlfn.TEXTBEFORE(Tabla5[[#This Row],[archivo]],"/")</f>
        <v>el_kanka</v>
      </c>
    </row>
    <row r="331" spans="1:4" x14ac:dyDescent="0.3">
      <c r="A331" t="s">
        <v>3097</v>
      </c>
      <c r="B331" t="s">
        <v>368</v>
      </c>
      <c r="C331" t="s">
        <v>368</v>
      </c>
      <c r="D331" t="str">
        <f>_xlfn.TEXTBEFORE(Tabla5[[#This Row],[archivo]],"/")</f>
        <v>el_kanka</v>
      </c>
    </row>
    <row r="332" spans="1:4" x14ac:dyDescent="0.3">
      <c r="A332" t="s">
        <v>3098</v>
      </c>
      <c r="B332" t="s">
        <v>2387</v>
      </c>
      <c r="C332" t="s">
        <v>2387</v>
      </c>
      <c r="D332" t="str">
        <f>_xlfn.TEXTBEFORE(Tabla5[[#This Row],[archivo]],"/")</f>
        <v>el_kanka</v>
      </c>
    </row>
    <row r="333" spans="1:4" x14ac:dyDescent="0.3">
      <c r="A333" t="s">
        <v>3099</v>
      </c>
      <c r="B333" t="s">
        <v>378</v>
      </c>
      <c r="C333" t="s">
        <v>378</v>
      </c>
      <c r="D333" t="str">
        <f>_xlfn.TEXTBEFORE(Tabla5[[#This Row],[archivo]],"/")</f>
        <v>el_kanka</v>
      </c>
    </row>
    <row r="334" spans="1:4" x14ac:dyDescent="0.3">
      <c r="A334" t="s">
        <v>3100</v>
      </c>
      <c r="B334" t="s">
        <v>369</v>
      </c>
      <c r="C334" t="s">
        <v>369</v>
      </c>
      <c r="D334" t="str">
        <f>_xlfn.TEXTBEFORE(Tabla5[[#This Row],[archivo]],"/")</f>
        <v>el_kanka</v>
      </c>
    </row>
    <row r="335" spans="1:4" x14ac:dyDescent="0.3">
      <c r="A335" t="s">
        <v>3101</v>
      </c>
      <c r="B335" t="s">
        <v>370</v>
      </c>
      <c r="C335" t="s">
        <v>370</v>
      </c>
      <c r="D335" t="str">
        <f>_xlfn.TEXTBEFORE(Tabla5[[#This Row],[archivo]],"/")</f>
        <v>el_kanka</v>
      </c>
    </row>
    <row r="336" spans="1:4" x14ac:dyDescent="0.3">
      <c r="A336" t="s">
        <v>3102</v>
      </c>
      <c r="B336" t="s">
        <v>2389</v>
      </c>
      <c r="C336" t="s">
        <v>2389</v>
      </c>
      <c r="D336" t="str">
        <f>_xlfn.TEXTBEFORE(Tabla5[[#This Row],[archivo]],"/")</f>
        <v>el_kanka</v>
      </c>
    </row>
    <row r="337" spans="1:4" x14ac:dyDescent="0.3">
      <c r="A337" t="s">
        <v>3103</v>
      </c>
      <c r="B337" t="s">
        <v>371</v>
      </c>
      <c r="C337" t="s">
        <v>371</v>
      </c>
      <c r="D337" t="str">
        <f>_xlfn.TEXTBEFORE(Tabla5[[#This Row],[archivo]],"/")</f>
        <v>el_kanka</v>
      </c>
    </row>
    <row r="338" spans="1:4" x14ac:dyDescent="0.3">
      <c r="A338" t="s">
        <v>3104</v>
      </c>
      <c r="B338" t="s">
        <v>2392</v>
      </c>
      <c r="C338" t="s">
        <v>2392</v>
      </c>
      <c r="D338" t="str">
        <f>_xlfn.TEXTBEFORE(Tabla5[[#This Row],[archivo]],"/")</f>
        <v>el_kanka</v>
      </c>
    </row>
    <row r="339" spans="1:4" x14ac:dyDescent="0.3">
      <c r="A339" t="s">
        <v>3105</v>
      </c>
      <c r="B339">
        <v>1968</v>
      </c>
      <c r="C339">
        <v>1968</v>
      </c>
      <c r="D339" t="str">
        <f>_xlfn.TEXTBEFORE(Tabla5[[#This Row],[archivo]],"/")</f>
        <v>joaquin_sabina</v>
      </c>
    </row>
    <row r="340" spans="1:4" x14ac:dyDescent="0.3">
      <c r="A340" t="s">
        <v>3106</v>
      </c>
      <c r="B340" t="s">
        <v>1159</v>
      </c>
      <c r="C340" t="s">
        <v>1159</v>
      </c>
      <c r="D340" t="str">
        <f>_xlfn.TEXTBEFORE(Tabla5[[#This Row],[archivo]],"/")</f>
        <v>joaquin_sabina</v>
      </c>
    </row>
    <row r="341" spans="1:4" x14ac:dyDescent="0.3">
      <c r="A341" t="s">
        <v>3107</v>
      </c>
      <c r="B341" t="s">
        <v>1081</v>
      </c>
      <c r="C341" t="s">
        <v>1081</v>
      </c>
      <c r="D341" t="str">
        <f>_xlfn.TEXTBEFORE(Tabla5[[#This Row],[archivo]],"/")</f>
        <v>joaquin_sabina</v>
      </c>
    </row>
    <row r="342" spans="1:4" x14ac:dyDescent="0.3">
      <c r="A342" t="s">
        <v>3108</v>
      </c>
      <c r="B342" t="s">
        <v>1176</v>
      </c>
      <c r="C342" t="s">
        <v>1176</v>
      </c>
      <c r="D342" t="str">
        <f>_xlfn.TEXTBEFORE(Tabla5[[#This Row],[archivo]],"/")</f>
        <v>joaquin_sabina</v>
      </c>
    </row>
    <row r="343" spans="1:4" x14ac:dyDescent="0.3">
      <c r="A343" t="s">
        <v>3109</v>
      </c>
      <c r="B343" t="s">
        <v>2677</v>
      </c>
      <c r="C343" t="s">
        <v>2677</v>
      </c>
      <c r="D343" t="str">
        <f>_xlfn.TEXTBEFORE(Tabla5[[#This Row],[archivo]],"/")</f>
        <v>joaquin_sabina</v>
      </c>
    </row>
    <row r="344" spans="1:4" x14ac:dyDescent="0.3">
      <c r="A344" t="s">
        <v>3110</v>
      </c>
      <c r="B344" t="s">
        <v>1203</v>
      </c>
      <c r="C344" t="s">
        <v>1203</v>
      </c>
      <c r="D344" t="str">
        <f>_xlfn.TEXTBEFORE(Tabla5[[#This Row],[archivo]],"/")</f>
        <v>joaquin_sabina</v>
      </c>
    </row>
    <row r="345" spans="1:4" x14ac:dyDescent="0.3">
      <c r="A345" t="s">
        <v>3111</v>
      </c>
      <c r="B345" t="s">
        <v>1860</v>
      </c>
      <c r="C345" t="s">
        <v>1860</v>
      </c>
      <c r="D345" t="str">
        <f>_xlfn.TEXTBEFORE(Tabla5[[#This Row],[archivo]],"/")</f>
        <v>joaquin_sabina</v>
      </c>
    </row>
    <row r="346" spans="1:4" x14ac:dyDescent="0.3">
      <c r="A346" t="s">
        <v>3112</v>
      </c>
      <c r="B346" t="s">
        <v>1118</v>
      </c>
      <c r="C346" t="s">
        <v>1118</v>
      </c>
      <c r="D346" t="str">
        <f>_xlfn.TEXTBEFORE(Tabla5[[#This Row],[archivo]],"/")</f>
        <v>joaquin_sabina</v>
      </c>
    </row>
    <row r="347" spans="1:4" x14ac:dyDescent="0.3">
      <c r="A347" t="s">
        <v>3113</v>
      </c>
      <c r="B347" t="s">
        <v>1109</v>
      </c>
      <c r="C347" t="s">
        <v>1109</v>
      </c>
      <c r="D347" t="str">
        <f>_xlfn.TEXTBEFORE(Tabla5[[#This Row],[archivo]],"/")</f>
        <v>joaquin_sabina</v>
      </c>
    </row>
    <row r="348" spans="1:4" x14ac:dyDescent="0.3">
      <c r="A348" t="s">
        <v>3114</v>
      </c>
      <c r="B348" t="s">
        <v>1135</v>
      </c>
      <c r="C348" t="s">
        <v>1135</v>
      </c>
      <c r="D348" t="str">
        <f>_xlfn.TEXTBEFORE(Tabla5[[#This Row],[archivo]],"/")</f>
        <v>joaquin_sabina</v>
      </c>
    </row>
    <row r="349" spans="1:4" x14ac:dyDescent="0.3">
      <c r="A349" t="s">
        <v>3115</v>
      </c>
      <c r="B349" t="s">
        <v>1181</v>
      </c>
      <c r="C349" t="s">
        <v>1181</v>
      </c>
      <c r="D349" t="str">
        <f>_xlfn.TEXTBEFORE(Tabla5[[#This Row],[archivo]],"/")</f>
        <v>joaquin_sabina</v>
      </c>
    </row>
    <row r="350" spans="1:4" x14ac:dyDescent="0.3">
      <c r="A350" t="s">
        <v>3116</v>
      </c>
      <c r="B350" t="s">
        <v>1105</v>
      </c>
      <c r="C350" t="s">
        <v>1105</v>
      </c>
      <c r="D350" t="str">
        <f>_xlfn.TEXTBEFORE(Tabla5[[#This Row],[archivo]],"/")</f>
        <v>joaquin_sabina</v>
      </c>
    </row>
    <row r="351" spans="1:4" x14ac:dyDescent="0.3">
      <c r="A351" t="s">
        <v>3117</v>
      </c>
      <c r="B351" t="s">
        <v>2678</v>
      </c>
      <c r="C351" t="s">
        <v>2678</v>
      </c>
      <c r="D351" t="str">
        <f>_xlfn.TEXTBEFORE(Tabla5[[#This Row],[archivo]],"/")</f>
        <v>joaquin_sabina</v>
      </c>
    </row>
    <row r="352" spans="1:4" x14ac:dyDescent="0.3">
      <c r="A352" t="s">
        <v>3118</v>
      </c>
      <c r="B352" t="s">
        <v>1201</v>
      </c>
      <c r="C352" t="s">
        <v>1201</v>
      </c>
      <c r="D352" t="str">
        <f>_xlfn.TEXTBEFORE(Tabla5[[#This Row],[archivo]],"/")</f>
        <v>joaquin_sabina</v>
      </c>
    </row>
    <row r="353" spans="1:4" x14ac:dyDescent="0.3">
      <c r="A353" t="s">
        <v>3119</v>
      </c>
      <c r="B353" t="s">
        <v>1186</v>
      </c>
      <c r="C353" t="s">
        <v>1186</v>
      </c>
      <c r="D353" t="str">
        <f>_xlfn.TEXTBEFORE(Tabla5[[#This Row],[archivo]],"/")</f>
        <v>joaquin_sabina</v>
      </c>
    </row>
    <row r="354" spans="1:4" x14ac:dyDescent="0.3">
      <c r="A354" t="s">
        <v>3120</v>
      </c>
      <c r="B354" t="s">
        <v>1130</v>
      </c>
      <c r="C354" t="s">
        <v>1130</v>
      </c>
      <c r="D354" t="str">
        <f>_xlfn.TEXTBEFORE(Tabla5[[#This Row],[archivo]],"/")</f>
        <v>joaquin_sabina</v>
      </c>
    </row>
    <row r="355" spans="1:4" x14ac:dyDescent="0.3">
      <c r="A355" t="s">
        <v>3121</v>
      </c>
      <c r="B355" t="s">
        <v>1163</v>
      </c>
      <c r="C355" t="s">
        <v>1163</v>
      </c>
      <c r="D355" t="str">
        <f>_xlfn.TEXTBEFORE(Tabla5[[#This Row],[archivo]],"/")</f>
        <v>joaquin_sabina</v>
      </c>
    </row>
    <row r="356" spans="1:4" x14ac:dyDescent="0.3">
      <c r="A356" t="s">
        <v>3122</v>
      </c>
      <c r="B356" t="s">
        <v>1859</v>
      </c>
      <c r="C356" t="s">
        <v>1859</v>
      </c>
      <c r="D356" t="str">
        <f>_xlfn.TEXTBEFORE(Tabla5[[#This Row],[archivo]],"/")</f>
        <v>joaquin_sabina</v>
      </c>
    </row>
    <row r="357" spans="1:4" x14ac:dyDescent="0.3">
      <c r="A357" t="s">
        <v>3123</v>
      </c>
      <c r="B357" t="s">
        <v>1947</v>
      </c>
      <c r="C357" t="s">
        <v>1947</v>
      </c>
      <c r="D357" t="str">
        <f>_xlfn.TEXTBEFORE(Tabla5[[#This Row],[archivo]],"/")</f>
        <v>joaquin_sabina</v>
      </c>
    </row>
    <row r="358" spans="1:4" x14ac:dyDescent="0.3">
      <c r="A358" t="s">
        <v>3124</v>
      </c>
      <c r="B358" t="s">
        <v>2679</v>
      </c>
      <c r="C358" t="s">
        <v>2679</v>
      </c>
      <c r="D358" t="str">
        <f>_xlfn.TEXTBEFORE(Tabla5[[#This Row],[archivo]],"/")</f>
        <v>joaquin_sabina</v>
      </c>
    </row>
    <row r="359" spans="1:4" x14ac:dyDescent="0.3">
      <c r="A359" t="s">
        <v>3125</v>
      </c>
      <c r="B359" t="s">
        <v>1139</v>
      </c>
      <c r="C359" t="s">
        <v>1139</v>
      </c>
      <c r="D359" t="str">
        <f>_xlfn.TEXTBEFORE(Tabla5[[#This Row],[archivo]],"/")</f>
        <v>joaquin_sabina</v>
      </c>
    </row>
    <row r="360" spans="1:4" x14ac:dyDescent="0.3">
      <c r="A360" t="s">
        <v>3126</v>
      </c>
      <c r="B360" t="s">
        <v>1107</v>
      </c>
      <c r="C360" t="s">
        <v>1107</v>
      </c>
      <c r="D360" t="str">
        <f>_xlfn.TEXTBEFORE(Tabla5[[#This Row],[archivo]],"/")</f>
        <v>joaquin_sabina</v>
      </c>
    </row>
    <row r="361" spans="1:4" x14ac:dyDescent="0.3">
      <c r="A361" t="s">
        <v>3127</v>
      </c>
      <c r="B361" t="s">
        <v>1113</v>
      </c>
      <c r="C361" t="s">
        <v>1113</v>
      </c>
      <c r="D361" t="str">
        <f>_xlfn.TEXTBEFORE(Tabla5[[#This Row],[archivo]],"/")</f>
        <v>joaquin_sabina</v>
      </c>
    </row>
    <row r="362" spans="1:4" x14ac:dyDescent="0.3">
      <c r="A362" t="s">
        <v>3128</v>
      </c>
      <c r="B362" t="s">
        <v>1209</v>
      </c>
      <c r="C362" t="s">
        <v>1209</v>
      </c>
      <c r="D362" t="str">
        <f>_xlfn.TEXTBEFORE(Tabla5[[#This Row],[archivo]],"/")</f>
        <v>joaquin_sabina</v>
      </c>
    </row>
    <row r="363" spans="1:4" x14ac:dyDescent="0.3">
      <c r="A363" t="s">
        <v>3129</v>
      </c>
      <c r="B363" t="s">
        <v>1092</v>
      </c>
      <c r="C363" t="s">
        <v>1092</v>
      </c>
      <c r="D363" t="str">
        <f>_xlfn.TEXTBEFORE(Tabla5[[#This Row],[archivo]],"/")</f>
        <v>joaquin_sabina</v>
      </c>
    </row>
    <row r="364" spans="1:4" x14ac:dyDescent="0.3">
      <c r="A364" t="s">
        <v>3130</v>
      </c>
      <c r="B364" t="s">
        <v>1156</v>
      </c>
      <c r="C364" t="s">
        <v>1156</v>
      </c>
      <c r="D364" t="str">
        <f>_xlfn.TEXTBEFORE(Tabla5[[#This Row],[archivo]],"/")</f>
        <v>joaquin_sabina</v>
      </c>
    </row>
    <row r="365" spans="1:4" x14ac:dyDescent="0.3">
      <c r="A365" t="s">
        <v>3131</v>
      </c>
      <c r="B365" t="s">
        <v>927</v>
      </c>
      <c r="C365" t="s">
        <v>927</v>
      </c>
      <c r="D365" t="str">
        <f>_xlfn.TEXTBEFORE(Tabla5[[#This Row],[archivo]],"/")</f>
        <v>joaquin_sabina</v>
      </c>
    </row>
    <row r="366" spans="1:4" x14ac:dyDescent="0.3">
      <c r="A366" t="s">
        <v>3132</v>
      </c>
      <c r="B366" t="s">
        <v>1085</v>
      </c>
      <c r="C366" t="s">
        <v>1085</v>
      </c>
      <c r="D366" t="str">
        <f>_xlfn.TEXTBEFORE(Tabla5[[#This Row],[archivo]],"/")</f>
        <v>joaquin_sabina</v>
      </c>
    </row>
    <row r="367" spans="1:4" x14ac:dyDescent="0.3">
      <c r="A367" t="s">
        <v>3133</v>
      </c>
      <c r="B367" t="s">
        <v>1183</v>
      </c>
      <c r="C367" t="s">
        <v>1183</v>
      </c>
      <c r="D367" t="str">
        <f>_xlfn.TEXTBEFORE(Tabla5[[#This Row],[archivo]],"/")</f>
        <v>joaquin_sabina</v>
      </c>
    </row>
    <row r="368" spans="1:4" x14ac:dyDescent="0.3">
      <c r="A368" t="s">
        <v>3134</v>
      </c>
      <c r="B368" t="s">
        <v>1213</v>
      </c>
      <c r="C368" t="s">
        <v>1213</v>
      </c>
      <c r="D368" t="str">
        <f>_xlfn.TEXTBEFORE(Tabla5[[#This Row],[archivo]],"/")</f>
        <v>joaquin_sabina</v>
      </c>
    </row>
    <row r="369" spans="1:4" x14ac:dyDescent="0.3">
      <c r="A369" t="s">
        <v>3135</v>
      </c>
      <c r="B369" t="s">
        <v>1223</v>
      </c>
      <c r="C369" t="s">
        <v>1223</v>
      </c>
      <c r="D369" t="str">
        <f>_xlfn.TEXTBEFORE(Tabla5[[#This Row],[archivo]],"/")</f>
        <v>joaquin_sabina</v>
      </c>
    </row>
    <row r="370" spans="1:4" x14ac:dyDescent="0.3">
      <c r="A370" t="s">
        <v>3136</v>
      </c>
      <c r="B370" t="s">
        <v>1082</v>
      </c>
      <c r="C370" t="s">
        <v>1082</v>
      </c>
      <c r="D370" t="str">
        <f>_xlfn.TEXTBEFORE(Tabla5[[#This Row],[archivo]],"/")</f>
        <v>joaquin_sabina</v>
      </c>
    </row>
    <row r="371" spans="1:4" x14ac:dyDescent="0.3">
      <c r="A371" t="s">
        <v>3137</v>
      </c>
      <c r="B371" t="s">
        <v>1087</v>
      </c>
      <c r="C371" t="s">
        <v>1087</v>
      </c>
      <c r="D371" t="str">
        <f>_xlfn.TEXTBEFORE(Tabla5[[#This Row],[archivo]],"/")</f>
        <v>joaquin_sabina</v>
      </c>
    </row>
    <row r="372" spans="1:4" x14ac:dyDescent="0.3">
      <c r="A372" t="s">
        <v>3138</v>
      </c>
      <c r="B372" t="s">
        <v>1166</v>
      </c>
      <c r="C372" t="s">
        <v>1166</v>
      </c>
      <c r="D372" t="str">
        <f>_xlfn.TEXTBEFORE(Tabla5[[#This Row],[archivo]],"/")</f>
        <v>joaquin_sabina</v>
      </c>
    </row>
    <row r="373" spans="1:4" x14ac:dyDescent="0.3">
      <c r="A373" t="s">
        <v>3139</v>
      </c>
      <c r="B373" t="s">
        <v>1227</v>
      </c>
      <c r="C373" t="s">
        <v>1227</v>
      </c>
      <c r="D373" t="str">
        <f>_xlfn.TEXTBEFORE(Tabla5[[#This Row],[archivo]],"/")</f>
        <v>joaquin_sabina</v>
      </c>
    </row>
    <row r="374" spans="1:4" x14ac:dyDescent="0.3">
      <c r="A374" t="s">
        <v>3140</v>
      </c>
      <c r="B374" t="s">
        <v>1089</v>
      </c>
      <c r="C374" t="s">
        <v>1089</v>
      </c>
      <c r="D374" t="str">
        <f>_xlfn.TEXTBEFORE(Tabla5[[#This Row],[archivo]],"/")</f>
        <v>joaquin_sabina</v>
      </c>
    </row>
    <row r="375" spans="1:4" x14ac:dyDescent="0.3">
      <c r="A375" t="s">
        <v>3141</v>
      </c>
      <c r="B375" t="s">
        <v>2680</v>
      </c>
      <c r="C375" t="s">
        <v>2680</v>
      </c>
      <c r="D375" t="str">
        <f>_xlfn.TEXTBEFORE(Tabla5[[#This Row],[archivo]],"/")</f>
        <v>joaquin_sabina</v>
      </c>
    </row>
    <row r="376" spans="1:4" x14ac:dyDescent="0.3">
      <c r="A376" t="s">
        <v>3142</v>
      </c>
      <c r="B376" t="s">
        <v>1175</v>
      </c>
      <c r="C376" t="s">
        <v>1175</v>
      </c>
      <c r="D376" t="str">
        <f>_xlfn.TEXTBEFORE(Tabla5[[#This Row],[archivo]],"/")</f>
        <v>joaquin_sabina</v>
      </c>
    </row>
    <row r="377" spans="1:4" x14ac:dyDescent="0.3">
      <c r="A377" t="s">
        <v>3143</v>
      </c>
      <c r="B377" t="s">
        <v>1141</v>
      </c>
      <c r="C377" t="s">
        <v>1141</v>
      </c>
      <c r="D377" t="str">
        <f>_xlfn.TEXTBEFORE(Tabla5[[#This Row],[archivo]],"/")</f>
        <v>joaquin_sabina</v>
      </c>
    </row>
    <row r="378" spans="1:4" x14ac:dyDescent="0.3">
      <c r="A378" t="s">
        <v>3144</v>
      </c>
      <c r="B378" t="s">
        <v>2681</v>
      </c>
      <c r="C378" t="s">
        <v>2681</v>
      </c>
      <c r="D378" t="str">
        <f>_xlfn.TEXTBEFORE(Tabla5[[#This Row],[archivo]],"/")</f>
        <v>joaquin_sabina</v>
      </c>
    </row>
    <row r="379" spans="1:4" x14ac:dyDescent="0.3">
      <c r="A379" t="s">
        <v>3145</v>
      </c>
      <c r="B379" t="s">
        <v>373</v>
      </c>
      <c r="C379" t="s">
        <v>373</v>
      </c>
      <c r="D379" t="str">
        <f>_xlfn.TEXTBEFORE(Tabla5[[#This Row],[archivo]],"/")</f>
        <v>joaquin_sabina</v>
      </c>
    </row>
    <row r="380" spans="1:4" x14ac:dyDescent="0.3">
      <c r="A380" t="s">
        <v>3146</v>
      </c>
      <c r="B380" t="s">
        <v>1187</v>
      </c>
      <c r="C380" t="s">
        <v>1187</v>
      </c>
      <c r="D380" t="str">
        <f>_xlfn.TEXTBEFORE(Tabla5[[#This Row],[archivo]],"/")</f>
        <v>joaquin_sabina</v>
      </c>
    </row>
    <row r="381" spans="1:4" x14ac:dyDescent="0.3">
      <c r="A381" t="s">
        <v>3147</v>
      </c>
      <c r="B381" t="s">
        <v>2415</v>
      </c>
      <c r="C381" t="s">
        <v>2415</v>
      </c>
      <c r="D381" t="str">
        <f>_xlfn.TEXTBEFORE(Tabla5[[#This Row],[archivo]],"/")</f>
        <v>joaquin_sabina</v>
      </c>
    </row>
    <row r="382" spans="1:4" x14ac:dyDescent="0.3">
      <c r="A382" t="s">
        <v>3148</v>
      </c>
      <c r="B382" t="s">
        <v>1127</v>
      </c>
      <c r="C382" t="s">
        <v>1127</v>
      </c>
      <c r="D382" t="str">
        <f>_xlfn.TEXTBEFORE(Tabla5[[#This Row],[archivo]],"/")</f>
        <v>joaquin_sabina</v>
      </c>
    </row>
    <row r="383" spans="1:4" x14ac:dyDescent="0.3">
      <c r="A383" t="s">
        <v>3149</v>
      </c>
      <c r="B383" t="s">
        <v>1191</v>
      </c>
      <c r="C383" t="s">
        <v>1191</v>
      </c>
      <c r="D383" t="str">
        <f>_xlfn.TEXTBEFORE(Tabla5[[#This Row],[archivo]],"/")</f>
        <v>joaquin_sabina</v>
      </c>
    </row>
    <row r="384" spans="1:4" x14ac:dyDescent="0.3">
      <c r="A384" t="s">
        <v>3150</v>
      </c>
      <c r="B384" t="s">
        <v>1125</v>
      </c>
      <c r="C384" t="s">
        <v>1125</v>
      </c>
      <c r="D384" t="str">
        <f>_xlfn.TEXTBEFORE(Tabla5[[#This Row],[archivo]],"/")</f>
        <v>joaquin_sabina</v>
      </c>
    </row>
    <row r="385" spans="1:4" x14ac:dyDescent="0.3">
      <c r="A385" t="s">
        <v>3151</v>
      </c>
      <c r="B385" t="s">
        <v>1126</v>
      </c>
      <c r="C385" t="s">
        <v>1126</v>
      </c>
      <c r="D385" t="str">
        <f>_xlfn.TEXTBEFORE(Tabla5[[#This Row],[archivo]],"/")</f>
        <v>joaquin_sabina</v>
      </c>
    </row>
    <row r="386" spans="1:4" x14ac:dyDescent="0.3">
      <c r="A386" t="s">
        <v>3152</v>
      </c>
      <c r="B386" t="s">
        <v>1208</v>
      </c>
      <c r="C386" t="s">
        <v>1208</v>
      </c>
      <c r="D386" t="str">
        <f>_xlfn.TEXTBEFORE(Tabla5[[#This Row],[archivo]],"/")</f>
        <v>joaquin_sabina</v>
      </c>
    </row>
    <row r="387" spans="1:4" x14ac:dyDescent="0.3">
      <c r="A387" t="s">
        <v>3153</v>
      </c>
      <c r="B387" t="s">
        <v>1199</v>
      </c>
      <c r="C387" t="s">
        <v>1199</v>
      </c>
      <c r="D387" t="str">
        <f>_xlfn.TEXTBEFORE(Tabla5[[#This Row],[archivo]],"/")</f>
        <v>joaquin_sabina</v>
      </c>
    </row>
    <row r="388" spans="1:4" x14ac:dyDescent="0.3">
      <c r="A388" t="s">
        <v>3154</v>
      </c>
      <c r="B388" t="s">
        <v>1119</v>
      </c>
      <c r="C388" t="s">
        <v>1119</v>
      </c>
      <c r="D388" t="str">
        <f>_xlfn.TEXTBEFORE(Tabla5[[#This Row],[archivo]],"/")</f>
        <v>joaquin_sabina</v>
      </c>
    </row>
    <row r="389" spans="1:4" x14ac:dyDescent="0.3">
      <c r="A389" t="s">
        <v>3155</v>
      </c>
      <c r="B389" t="s">
        <v>1101</v>
      </c>
      <c r="C389" t="s">
        <v>1101</v>
      </c>
      <c r="D389" t="str">
        <f>_xlfn.TEXTBEFORE(Tabla5[[#This Row],[archivo]],"/")</f>
        <v>joaquin_sabina</v>
      </c>
    </row>
    <row r="390" spans="1:4" x14ac:dyDescent="0.3">
      <c r="A390" t="s">
        <v>3156</v>
      </c>
      <c r="B390" t="s">
        <v>1182</v>
      </c>
      <c r="C390" t="s">
        <v>1182</v>
      </c>
      <c r="D390" t="str">
        <f>_xlfn.TEXTBEFORE(Tabla5[[#This Row],[archivo]],"/")</f>
        <v>joaquin_sabina</v>
      </c>
    </row>
    <row r="391" spans="1:4" x14ac:dyDescent="0.3">
      <c r="A391" t="s">
        <v>3157</v>
      </c>
      <c r="B391" t="s">
        <v>1215</v>
      </c>
      <c r="C391" t="s">
        <v>1215</v>
      </c>
      <c r="D391" t="str">
        <f>_xlfn.TEXTBEFORE(Tabla5[[#This Row],[archivo]],"/")</f>
        <v>joaquin_sabina</v>
      </c>
    </row>
    <row r="392" spans="1:4" x14ac:dyDescent="0.3">
      <c r="A392" t="s">
        <v>3158</v>
      </c>
      <c r="B392" t="s">
        <v>1111</v>
      </c>
      <c r="C392" t="s">
        <v>1111</v>
      </c>
      <c r="D392" t="str">
        <f>_xlfn.TEXTBEFORE(Tabla5[[#This Row],[archivo]],"/")</f>
        <v>joaquin_sabina</v>
      </c>
    </row>
    <row r="393" spans="1:4" x14ac:dyDescent="0.3">
      <c r="A393" t="s">
        <v>3159</v>
      </c>
      <c r="B393" t="s">
        <v>1212</v>
      </c>
      <c r="C393" t="s">
        <v>1212</v>
      </c>
      <c r="D393" t="str">
        <f>_xlfn.TEXTBEFORE(Tabla5[[#This Row],[archivo]],"/")</f>
        <v>joaquin_sabina</v>
      </c>
    </row>
    <row r="394" spans="1:4" x14ac:dyDescent="0.3">
      <c r="A394" t="s">
        <v>3160</v>
      </c>
      <c r="B394" t="s">
        <v>1168</v>
      </c>
      <c r="C394" t="s">
        <v>1168</v>
      </c>
      <c r="D394" t="str">
        <f>_xlfn.TEXTBEFORE(Tabla5[[#This Row],[archivo]],"/")</f>
        <v>joaquin_sabina</v>
      </c>
    </row>
    <row r="395" spans="1:4" x14ac:dyDescent="0.3">
      <c r="A395" t="s">
        <v>3161</v>
      </c>
      <c r="B395" t="s">
        <v>2682</v>
      </c>
      <c r="C395" t="s">
        <v>2682</v>
      </c>
      <c r="D395" t="str">
        <f>_xlfn.TEXTBEFORE(Tabla5[[#This Row],[archivo]],"/")</f>
        <v>joaquin_sabina</v>
      </c>
    </row>
    <row r="396" spans="1:4" x14ac:dyDescent="0.3">
      <c r="A396" t="s">
        <v>3162</v>
      </c>
      <c r="B396" t="s">
        <v>1165</v>
      </c>
      <c r="C396" t="s">
        <v>1165</v>
      </c>
      <c r="D396" t="str">
        <f>_xlfn.TEXTBEFORE(Tabla5[[#This Row],[archivo]],"/")</f>
        <v>joaquin_sabina</v>
      </c>
    </row>
    <row r="397" spans="1:4" x14ac:dyDescent="0.3">
      <c r="A397" t="s">
        <v>3163</v>
      </c>
      <c r="B397" t="s">
        <v>1192</v>
      </c>
      <c r="C397" t="s">
        <v>1192</v>
      </c>
      <c r="D397" t="str">
        <f>_xlfn.TEXTBEFORE(Tabla5[[#This Row],[archivo]],"/")</f>
        <v>joaquin_sabina</v>
      </c>
    </row>
    <row r="398" spans="1:4" x14ac:dyDescent="0.3">
      <c r="A398" t="s">
        <v>3164</v>
      </c>
      <c r="B398" t="s">
        <v>1121</v>
      </c>
      <c r="C398" t="s">
        <v>1121</v>
      </c>
      <c r="D398" t="str">
        <f>_xlfn.TEXTBEFORE(Tabla5[[#This Row],[archivo]],"/")</f>
        <v>joaquin_sabina</v>
      </c>
    </row>
    <row r="399" spans="1:4" x14ac:dyDescent="0.3">
      <c r="A399" t="s">
        <v>3165</v>
      </c>
      <c r="B399" t="s">
        <v>1096</v>
      </c>
      <c r="C399" t="s">
        <v>1096</v>
      </c>
      <c r="D399" t="str">
        <f>_xlfn.TEXTBEFORE(Tabla5[[#This Row],[archivo]],"/")</f>
        <v>joaquin_sabina</v>
      </c>
    </row>
    <row r="400" spans="1:4" x14ac:dyDescent="0.3">
      <c r="A400" t="s">
        <v>3166</v>
      </c>
      <c r="B400" t="s">
        <v>1140</v>
      </c>
      <c r="C400" t="s">
        <v>1140</v>
      </c>
      <c r="D400" t="str">
        <f>_xlfn.TEXTBEFORE(Tabla5[[#This Row],[archivo]],"/")</f>
        <v>joaquin_sabina</v>
      </c>
    </row>
    <row r="401" spans="1:4" x14ac:dyDescent="0.3">
      <c r="A401" t="s">
        <v>3167</v>
      </c>
      <c r="B401" t="s">
        <v>1178</v>
      </c>
      <c r="C401" t="s">
        <v>1178</v>
      </c>
      <c r="D401" t="str">
        <f>_xlfn.TEXTBEFORE(Tabla5[[#This Row],[archivo]],"/")</f>
        <v>joaquin_sabina</v>
      </c>
    </row>
    <row r="402" spans="1:4" x14ac:dyDescent="0.3">
      <c r="A402" t="s">
        <v>3168</v>
      </c>
      <c r="B402" t="s">
        <v>1148</v>
      </c>
      <c r="C402" t="s">
        <v>1148</v>
      </c>
      <c r="D402" t="str">
        <f>_xlfn.TEXTBEFORE(Tabla5[[#This Row],[archivo]],"/")</f>
        <v>joaquin_sabina</v>
      </c>
    </row>
    <row r="403" spans="1:4" x14ac:dyDescent="0.3">
      <c r="A403" t="s">
        <v>3169</v>
      </c>
      <c r="B403" t="s">
        <v>1164</v>
      </c>
      <c r="C403" t="s">
        <v>1164</v>
      </c>
      <c r="D403" t="str">
        <f>_xlfn.TEXTBEFORE(Tabla5[[#This Row],[archivo]],"/")</f>
        <v>joaquin_sabina</v>
      </c>
    </row>
    <row r="404" spans="1:4" x14ac:dyDescent="0.3">
      <c r="A404" t="s">
        <v>3170</v>
      </c>
      <c r="B404" t="s">
        <v>1102</v>
      </c>
      <c r="C404" t="s">
        <v>1102</v>
      </c>
      <c r="D404" t="str">
        <f>_xlfn.TEXTBEFORE(Tabla5[[#This Row],[archivo]],"/")</f>
        <v>joaquin_sabina</v>
      </c>
    </row>
    <row r="405" spans="1:4" x14ac:dyDescent="0.3">
      <c r="A405" t="s">
        <v>3171</v>
      </c>
      <c r="B405" t="s">
        <v>1123</v>
      </c>
      <c r="C405" t="s">
        <v>1123</v>
      </c>
      <c r="D405" t="str">
        <f>_xlfn.TEXTBEFORE(Tabla5[[#This Row],[archivo]],"/")</f>
        <v>joaquin_sabina</v>
      </c>
    </row>
    <row r="406" spans="1:4" x14ac:dyDescent="0.3">
      <c r="A406" t="s">
        <v>3172</v>
      </c>
      <c r="B406" t="s">
        <v>2683</v>
      </c>
      <c r="C406" t="s">
        <v>2683</v>
      </c>
      <c r="D406" t="str">
        <f>_xlfn.TEXTBEFORE(Tabla5[[#This Row],[archivo]],"/")</f>
        <v>joaquin_sabina</v>
      </c>
    </row>
    <row r="407" spans="1:4" x14ac:dyDescent="0.3">
      <c r="A407" t="s">
        <v>3173</v>
      </c>
      <c r="B407" t="s">
        <v>1205</v>
      </c>
      <c r="C407" t="s">
        <v>1205</v>
      </c>
      <c r="D407" t="str">
        <f>_xlfn.TEXTBEFORE(Tabla5[[#This Row],[archivo]],"/")</f>
        <v>joaquin_sabina</v>
      </c>
    </row>
    <row r="408" spans="1:4" x14ac:dyDescent="0.3">
      <c r="A408" t="s">
        <v>3174</v>
      </c>
      <c r="B408" t="s">
        <v>2684</v>
      </c>
      <c r="C408" t="s">
        <v>2684</v>
      </c>
      <c r="D408" t="str">
        <f>_xlfn.TEXTBEFORE(Tabla5[[#This Row],[archivo]],"/")</f>
        <v>joaquin_sabina</v>
      </c>
    </row>
    <row r="409" spans="1:4" x14ac:dyDescent="0.3">
      <c r="A409" t="s">
        <v>3175</v>
      </c>
      <c r="B409" t="s">
        <v>2685</v>
      </c>
      <c r="C409" t="s">
        <v>2685</v>
      </c>
      <c r="D409" t="str">
        <f>_xlfn.TEXTBEFORE(Tabla5[[#This Row],[archivo]],"/")</f>
        <v>joaquin_sabina</v>
      </c>
    </row>
    <row r="410" spans="1:4" x14ac:dyDescent="0.3">
      <c r="A410" t="s">
        <v>3176</v>
      </c>
      <c r="B410" t="s">
        <v>1146</v>
      </c>
      <c r="C410" t="s">
        <v>1146</v>
      </c>
      <c r="D410" t="str">
        <f>_xlfn.TEXTBEFORE(Tabla5[[#This Row],[archivo]],"/")</f>
        <v>joaquin_sabina</v>
      </c>
    </row>
    <row r="411" spans="1:4" x14ac:dyDescent="0.3">
      <c r="A411" t="s">
        <v>3177</v>
      </c>
      <c r="B411" t="s">
        <v>1112</v>
      </c>
      <c r="C411" t="s">
        <v>1112</v>
      </c>
      <c r="D411" t="str">
        <f>_xlfn.TEXTBEFORE(Tabla5[[#This Row],[archivo]],"/")</f>
        <v>joaquin_sabina</v>
      </c>
    </row>
    <row r="412" spans="1:4" x14ac:dyDescent="0.3">
      <c r="A412" t="s">
        <v>3178</v>
      </c>
      <c r="B412" t="s">
        <v>1157</v>
      </c>
      <c r="C412" t="s">
        <v>1157</v>
      </c>
      <c r="D412" t="str">
        <f>_xlfn.TEXTBEFORE(Tabla5[[#This Row],[archivo]],"/")</f>
        <v>joaquin_sabina</v>
      </c>
    </row>
    <row r="413" spans="1:4" x14ac:dyDescent="0.3">
      <c r="A413" t="s">
        <v>3179</v>
      </c>
      <c r="B413" t="s">
        <v>2686</v>
      </c>
      <c r="C413" t="s">
        <v>2686</v>
      </c>
      <c r="D413" t="str">
        <f>_xlfn.TEXTBEFORE(Tabla5[[#This Row],[archivo]],"/")</f>
        <v>joaquin_sabina</v>
      </c>
    </row>
    <row r="414" spans="1:4" x14ac:dyDescent="0.3">
      <c r="A414" t="s">
        <v>3180</v>
      </c>
      <c r="B414" t="s">
        <v>1095</v>
      </c>
      <c r="C414" t="s">
        <v>1095</v>
      </c>
      <c r="D414" t="str">
        <f>_xlfn.TEXTBEFORE(Tabla5[[#This Row],[archivo]],"/")</f>
        <v>joaquin_sabina</v>
      </c>
    </row>
    <row r="415" spans="1:4" x14ac:dyDescent="0.3">
      <c r="A415" t="s">
        <v>3181</v>
      </c>
      <c r="B415" t="s">
        <v>2687</v>
      </c>
      <c r="C415" t="s">
        <v>2687</v>
      </c>
      <c r="D415" t="str">
        <f>_xlfn.TEXTBEFORE(Tabla5[[#This Row],[archivo]],"/")</f>
        <v>joaquin_sabina</v>
      </c>
    </row>
    <row r="416" spans="1:4" x14ac:dyDescent="0.3">
      <c r="A416" t="s">
        <v>3182</v>
      </c>
      <c r="B416" t="s">
        <v>1088</v>
      </c>
      <c r="C416" t="s">
        <v>1088</v>
      </c>
      <c r="D416" t="str">
        <f>_xlfn.TEXTBEFORE(Tabla5[[#This Row],[archivo]],"/")</f>
        <v>joaquin_sabina</v>
      </c>
    </row>
    <row r="417" spans="1:4" x14ac:dyDescent="0.3">
      <c r="A417" t="s">
        <v>3183</v>
      </c>
      <c r="B417" t="s">
        <v>2688</v>
      </c>
      <c r="C417" t="s">
        <v>2688</v>
      </c>
      <c r="D417" t="str">
        <f>_xlfn.TEXTBEFORE(Tabla5[[#This Row],[archivo]],"/")</f>
        <v>joaquin_sabina</v>
      </c>
    </row>
    <row r="418" spans="1:4" x14ac:dyDescent="0.3">
      <c r="A418" t="s">
        <v>3184</v>
      </c>
      <c r="B418" t="s">
        <v>1214</v>
      </c>
      <c r="C418" t="s">
        <v>1214</v>
      </c>
      <c r="D418" t="str">
        <f>_xlfn.TEXTBEFORE(Tabla5[[#This Row],[archivo]],"/")</f>
        <v>joaquin_sabina</v>
      </c>
    </row>
    <row r="419" spans="1:4" x14ac:dyDescent="0.3">
      <c r="A419" t="s">
        <v>3185</v>
      </c>
      <c r="B419" t="s">
        <v>1137</v>
      </c>
      <c r="C419" t="s">
        <v>1137</v>
      </c>
      <c r="D419" t="str">
        <f>_xlfn.TEXTBEFORE(Tabla5[[#This Row],[archivo]],"/")</f>
        <v>joaquin_sabina</v>
      </c>
    </row>
    <row r="420" spans="1:4" x14ac:dyDescent="0.3">
      <c r="A420" t="s">
        <v>3186</v>
      </c>
      <c r="B420" t="s">
        <v>1965</v>
      </c>
      <c r="C420" t="s">
        <v>1965</v>
      </c>
      <c r="D420" t="str">
        <f>_xlfn.TEXTBEFORE(Tabla5[[#This Row],[archivo]],"/")</f>
        <v>joaquin_sabina</v>
      </c>
    </row>
    <row r="421" spans="1:4" x14ac:dyDescent="0.3">
      <c r="A421" t="s">
        <v>3187</v>
      </c>
      <c r="B421" t="s">
        <v>1079</v>
      </c>
      <c r="C421" t="s">
        <v>1079</v>
      </c>
      <c r="D421" t="str">
        <f>_xlfn.TEXTBEFORE(Tabla5[[#This Row],[archivo]],"/")</f>
        <v>joaquin_sabina</v>
      </c>
    </row>
    <row r="422" spans="1:4" x14ac:dyDescent="0.3">
      <c r="A422" t="s">
        <v>3188</v>
      </c>
      <c r="B422" t="s">
        <v>2689</v>
      </c>
      <c r="C422" t="s">
        <v>2689</v>
      </c>
      <c r="D422" t="str">
        <f>_xlfn.TEXTBEFORE(Tabla5[[#This Row],[archivo]],"/")</f>
        <v>joaquin_sabina</v>
      </c>
    </row>
    <row r="423" spans="1:4" x14ac:dyDescent="0.3">
      <c r="A423" t="s">
        <v>3189</v>
      </c>
      <c r="B423" t="s">
        <v>1145</v>
      </c>
      <c r="C423" t="s">
        <v>1145</v>
      </c>
      <c r="D423" t="str">
        <f>_xlfn.TEXTBEFORE(Tabla5[[#This Row],[archivo]],"/")</f>
        <v>joaquin_sabina</v>
      </c>
    </row>
    <row r="424" spans="1:4" x14ac:dyDescent="0.3">
      <c r="A424" t="s">
        <v>3190</v>
      </c>
      <c r="B424" t="s">
        <v>1221</v>
      </c>
      <c r="C424" t="s">
        <v>1221</v>
      </c>
      <c r="D424" t="str">
        <f>_xlfn.TEXTBEFORE(Tabla5[[#This Row],[archivo]],"/")</f>
        <v>joaquin_sabina</v>
      </c>
    </row>
    <row r="425" spans="1:4" x14ac:dyDescent="0.3">
      <c r="A425" t="s">
        <v>3191</v>
      </c>
      <c r="B425" t="s">
        <v>1179</v>
      </c>
      <c r="C425" t="s">
        <v>1179</v>
      </c>
      <c r="D425" t="str">
        <f>_xlfn.TEXTBEFORE(Tabla5[[#This Row],[archivo]],"/")</f>
        <v>joaquin_sabina</v>
      </c>
    </row>
    <row r="426" spans="1:4" x14ac:dyDescent="0.3">
      <c r="A426" t="s">
        <v>3192</v>
      </c>
      <c r="B426" t="s">
        <v>1225</v>
      </c>
      <c r="C426" t="s">
        <v>1225</v>
      </c>
      <c r="D426" t="str">
        <f>_xlfn.TEXTBEFORE(Tabla5[[#This Row],[archivo]],"/")</f>
        <v>joaquin_sabina</v>
      </c>
    </row>
    <row r="427" spans="1:4" x14ac:dyDescent="0.3">
      <c r="A427" t="s">
        <v>3193</v>
      </c>
      <c r="B427" t="s">
        <v>1154</v>
      </c>
      <c r="C427" t="s">
        <v>1154</v>
      </c>
      <c r="D427" t="str">
        <f>_xlfn.TEXTBEFORE(Tabla5[[#This Row],[archivo]],"/")</f>
        <v>joaquin_sabina</v>
      </c>
    </row>
    <row r="428" spans="1:4" x14ac:dyDescent="0.3">
      <c r="A428" t="s">
        <v>3194</v>
      </c>
      <c r="B428" t="s">
        <v>1171</v>
      </c>
      <c r="C428" t="s">
        <v>1171</v>
      </c>
      <c r="D428" t="str">
        <f>_xlfn.TEXTBEFORE(Tabla5[[#This Row],[archivo]],"/")</f>
        <v>joaquin_sabina</v>
      </c>
    </row>
    <row r="429" spans="1:4" x14ac:dyDescent="0.3">
      <c r="A429" t="s">
        <v>3195</v>
      </c>
      <c r="B429" t="s">
        <v>1132</v>
      </c>
      <c r="C429" t="s">
        <v>1132</v>
      </c>
      <c r="D429" t="str">
        <f>_xlfn.TEXTBEFORE(Tabla5[[#This Row],[archivo]],"/")</f>
        <v>joaquin_sabina</v>
      </c>
    </row>
    <row r="430" spans="1:4" x14ac:dyDescent="0.3">
      <c r="A430" t="s">
        <v>3196</v>
      </c>
      <c r="B430" t="s">
        <v>1966</v>
      </c>
      <c r="C430" t="s">
        <v>1966</v>
      </c>
      <c r="D430" t="str">
        <f>_xlfn.TEXTBEFORE(Tabla5[[#This Row],[archivo]],"/")</f>
        <v>joaquin_sabina</v>
      </c>
    </row>
    <row r="431" spans="1:4" x14ac:dyDescent="0.3">
      <c r="A431" t="s">
        <v>3197</v>
      </c>
      <c r="B431" t="s">
        <v>1174</v>
      </c>
      <c r="C431" t="s">
        <v>1174</v>
      </c>
      <c r="D431" t="str">
        <f>_xlfn.TEXTBEFORE(Tabla5[[#This Row],[archivo]],"/")</f>
        <v>joaquin_sabina</v>
      </c>
    </row>
    <row r="432" spans="1:4" x14ac:dyDescent="0.3">
      <c r="A432" t="s">
        <v>3198</v>
      </c>
      <c r="B432" t="s">
        <v>1143</v>
      </c>
      <c r="C432" t="s">
        <v>1143</v>
      </c>
      <c r="D432" t="str">
        <f>_xlfn.TEXTBEFORE(Tabla5[[#This Row],[archivo]],"/")</f>
        <v>joaquin_sabina</v>
      </c>
    </row>
    <row r="433" spans="1:4" x14ac:dyDescent="0.3">
      <c r="A433" t="s">
        <v>3199</v>
      </c>
      <c r="B433" t="s">
        <v>2690</v>
      </c>
      <c r="C433" t="s">
        <v>2690</v>
      </c>
      <c r="D433" t="str">
        <f>_xlfn.TEXTBEFORE(Tabla5[[#This Row],[archivo]],"/")</f>
        <v>joaquin_sabina</v>
      </c>
    </row>
    <row r="434" spans="1:4" x14ac:dyDescent="0.3">
      <c r="A434" t="s">
        <v>3200</v>
      </c>
      <c r="B434" t="s">
        <v>1211</v>
      </c>
      <c r="C434" t="s">
        <v>1211</v>
      </c>
      <c r="D434" t="str">
        <f>_xlfn.TEXTBEFORE(Tabla5[[#This Row],[archivo]],"/")</f>
        <v>joaquin_sabina</v>
      </c>
    </row>
    <row r="435" spans="1:4" x14ac:dyDescent="0.3">
      <c r="A435" t="s">
        <v>3201</v>
      </c>
      <c r="B435" t="s">
        <v>1153</v>
      </c>
      <c r="C435" t="s">
        <v>1153</v>
      </c>
      <c r="D435" t="str">
        <f>_xlfn.TEXTBEFORE(Tabla5[[#This Row],[archivo]],"/")</f>
        <v>joaquin_sabina</v>
      </c>
    </row>
    <row r="436" spans="1:4" x14ac:dyDescent="0.3">
      <c r="A436" t="s">
        <v>3202</v>
      </c>
      <c r="B436" t="s">
        <v>1222</v>
      </c>
      <c r="C436" t="s">
        <v>1222</v>
      </c>
      <c r="D436" t="str">
        <f>_xlfn.TEXTBEFORE(Tabla5[[#This Row],[archivo]],"/")</f>
        <v>joaquin_sabina</v>
      </c>
    </row>
    <row r="437" spans="1:4" x14ac:dyDescent="0.3">
      <c r="A437" t="s">
        <v>3203</v>
      </c>
      <c r="B437" t="s">
        <v>1115</v>
      </c>
      <c r="C437" t="s">
        <v>1115</v>
      </c>
      <c r="D437" t="str">
        <f>_xlfn.TEXTBEFORE(Tabla5[[#This Row],[archivo]],"/")</f>
        <v>joaquin_sabina</v>
      </c>
    </row>
    <row r="438" spans="1:4" x14ac:dyDescent="0.3">
      <c r="A438" t="s">
        <v>3204</v>
      </c>
      <c r="B438" t="s">
        <v>1133</v>
      </c>
      <c r="C438" t="s">
        <v>1133</v>
      </c>
      <c r="D438" t="str">
        <f>_xlfn.TEXTBEFORE(Tabla5[[#This Row],[archivo]],"/")</f>
        <v>joaquin_sabina</v>
      </c>
    </row>
    <row r="439" spans="1:4" x14ac:dyDescent="0.3">
      <c r="A439" t="s">
        <v>3205</v>
      </c>
      <c r="B439" t="s">
        <v>1120</v>
      </c>
      <c r="C439" t="s">
        <v>1120</v>
      </c>
      <c r="D439" t="str">
        <f>_xlfn.TEXTBEFORE(Tabla5[[#This Row],[archivo]],"/")</f>
        <v>joaquin_sabina</v>
      </c>
    </row>
    <row r="440" spans="1:4" x14ac:dyDescent="0.3">
      <c r="A440" t="s">
        <v>3206</v>
      </c>
      <c r="B440" t="s">
        <v>1219</v>
      </c>
      <c r="C440" t="s">
        <v>1219</v>
      </c>
      <c r="D440" t="str">
        <f>_xlfn.TEXTBEFORE(Tabla5[[#This Row],[archivo]],"/")</f>
        <v>joaquin_sabina</v>
      </c>
    </row>
    <row r="441" spans="1:4" x14ac:dyDescent="0.3">
      <c r="A441" t="s">
        <v>3207</v>
      </c>
      <c r="B441" t="s">
        <v>1216</v>
      </c>
      <c r="C441" t="s">
        <v>1216</v>
      </c>
      <c r="D441" t="str">
        <f>_xlfn.TEXTBEFORE(Tabla5[[#This Row],[archivo]],"/")</f>
        <v>joaquin_sabina</v>
      </c>
    </row>
    <row r="442" spans="1:4" x14ac:dyDescent="0.3">
      <c r="A442" t="s">
        <v>3208</v>
      </c>
      <c r="B442" t="s">
        <v>1091</v>
      </c>
      <c r="C442" t="s">
        <v>1091</v>
      </c>
      <c r="D442" t="str">
        <f>_xlfn.TEXTBEFORE(Tabla5[[#This Row],[archivo]],"/")</f>
        <v>joaquin_sabina</v>
      </c>
    </row>
    <row r="443" spans="1:4" x14ac:dyDescent="0.3">
      <c r="A443" t="s">
        <v>3209</v>
      </c>
      <c r="B443" t="s">
        <v>1144</v>
      </c>
      <c r="C443" t="s">
        <v>1144</v>
      </c>
      <c r="D443" t="str">
        <f>_xlfn.TEXTBEFORE(Tabla5[[#This Row],[archivo]],"/")</f>
        <v>joaquin_sabina</v>
      </c>
    </row>
    <row r="444" spans="1:4" x14ac:dyDescent="0.3">
      <c r="A444" t="s">
        <v>3210</v>
      </c>
      <c r="B444" t="s">
        <v>1190</v>
      </c>
      <c r="C444" t="s">
        <v>1190</v>
      </c>
      <c r="D444" t="str">
        <f>_xlfn.TEXTBEFORE(Tabla5[[#This Row],[archivo]],"/")</f>
        <v>joaquin_sabina</v>
      </c>
    </row>
    <row r="445" spans="1:4" x14ac:dyDescent="0.3">
      <c r="A445" t="s">
        <v>3211</v>
      </c>
      <c r="B445" t="s">
        <v>2691</v>
      </c>
      <c r="C445" t="s">
        <v>2691</v>
      </c>
      <c r="D445" t="str">
        <f>_xlfn.TEXTBEFORE(Tabla5[[#This Row],[archivo]],"/")</f>
        <v>joaquin_sabina</v>
      </c>
    </row>
    <row r="446" spans="1:4" x14ac:dyDescent="0.3">
      <c r="A446" t="s">
        <v>3212</v>
      </c>
      <c r="B446" t="s">
        <v>1207</v>
      </c>
      <c r="C446" t="s">
        <v>1207</v>
      </c>
      <c r="D446" t="str">
        <f>_xlfn.TEXTBEFORE(Tabla5[[#This Row],[archivo]],"/")</f>
        <v>joaquin_sabina</v>
      </c>
    </row>
    <row r="447" spans="1:4" x14ac:dyDescent="0.3">
      <c r="A447" t="s">
        <v>3213</v>
      </c>
      <c r="B447" t="s">
        <v>1124</v>
      </c>
      <c r="C447" t="s">
        <v>1124</v>
      </c>
      <c r="D447" t="str">
        <f>_xlfn.TEXTBEFORE(Tabla5[[#This Row],[archivo]],"/")</f>
        <v>joaquin_sabina</v>
      </c>
    </row>
    <row r="448" spans="1:4" x14ac:dyDescent="0.3">
      <c r="A448" t="s">
        <v>3214</v>
      </c>
      <c r="B448" t="s">
        <v>1193</v>
      </c>
      <c r="C448" t="s">
        <v>1193</v>
      </c>
      <c r="D448" t="str">
        <f>_xlfn.TEXTBEFORE(Tabla5[[#This Row],[archivo]],"/")</f>
        <v>joaquin_sabina</v>
      </c>
    </row>
    <row r="449" spans="1:4" x14ac:dyDescent="0.3">
      <c r="A449" t="s">
        <v>3215</v>
      </c>
      <c r="B449" t="s">
        <v>1093</v>
      </c>
      <c r="C449" t="s">
        <v>1093</v>
      </c>
      <c r="D449" t="str">
        <f>_xlfn.TEXTBEFORE(Tabla5[[#This Row],[archivo]],"/")</f>
        <v>joaquin_sabina</v>
      </c>
    </row>
    <row r="450" spans="1:4" x14ac:dyDescent="0.3">
      <c r="A450" t="s">
        <v>3216</v>
      </c>
      <c r="B450" t="s">
        <v>1147</v>
      </c>
      <c r="C450" t="s">
        <v>1147</v>
      </c>
      <c r="D450" t="str">
        <f>_xlfn.TEXTBEFORE(Tabla5[[#This Row],[archivo]],"/")</f>
        <v>joaquin_sabina</v>
      </c>
    </row>
    <row r="451" spans="1:4" x14ac:dyDescent="0.3">
      <c r="A451" t="s">
        <v>3217</v>
      </c>
      <c r="B451" t="s">
        <v>1084</v>
      </c>
      <c r="C451" t="s">
        <v>1084</v>
      </c>
      <c r="D451" t="str">
        <f>_xlfn.TEXTBEFORE(Tabla5[[#This Row],[archivo]],"/")</f>
        <v>joaquin_sabina</v>
      </c>
    </row>
    <row r="452" spans="1:4" x14ac:dyDescent="0.3">
      <c r="A452" t="s">
        <v>3218</v>
      </c>
      <c r="B452" t="s">
        <v>1110</v>
      </c>
      <c r="C452" t="s">
        <v>1110</v>
      </c>
      <c r="D452" t="str">
        <f>_xlfn.TEXTBEFORE(Tabla5[[#This Row],[archivo]],"/")</f>
        <v>joaquin_sabina</v>
      </c>
    </row>
    <row r="453" spans="1:4" x14ac:dyDescent="0.3">
      <c r="A453" t="s">
        <v>3219</v>
      </c>
      <c r="B453" t="s">
        <v>1142</v>
      </c>
      <c r="C453" t="s">
        <v>1142</v>
      </c>
      <c r="D453" t="str">
        <f>_xlfn.TEXTBEFORE(Tabla5[[#This Row],[archivo]],"/")</f>
        <v>joaquin_sabina</v>
      </c>
    </row>
    <row r="454" spans="1:4" x14ac:dyDescent="0.3">
      <c r="A454" t="s">
        <v>3220</v>
      </c>
      <c r="B454" t="s">
        <v>1116</v>
      </c>
      <c r="C454" t="s">
        <v>1116</v>
      </c>
      <c r="D454" t="str">
        <f>_xlfn.TEXTBEFORE(Tabla5[[#This Row],[archivo]],"/")</f>
        <v>joaquin_sabina</v>
      </c>
    </row>
    <row r="455" spans="1:4" x14ac:dyDescent="0.3">
      <c r="A455" t="s">
        <v>3221</v>
      </c>
      <c r="B455" t="s">
        <v>1097</v>
      </c>
      <c r="C455" t="s">
        <v>1097</v>
      </c>
      <c r="D455" t="str">
        <f>_xlfn.TEXTBEFORE(Tabla5[[#This Row],[archivo]],"/")</f>
        <v>joaquin_sabina</v>
      </c>
    </row>
    <row r="456" spans="1:4" x14ac:dyDescent="0.3">
      <c r="A456" t="s">
        <v>3222</v>
      </c>
      <c r="B456" t="s">
        <v>1169</v>
      </c>
      <c r="C456" t="s">
        <v>1169</v>
      </c>
      <c r="D456" t="str">
        <f>_xlfn.TEXTBEFORE(Tabla5[[#This Row],[archivo]],"/")</f>
        <v>joaquin_sabina</v>
      </c>
    </row>
    <row r="457" spans="1:4" x14ac:dyDescent="0.3">
      <c r="A457" t="s">
        <v>3223</v>
      </c>
      <c r="B457" t="s">
        <v>1206</v>
      </c>
      <c r="C457" t="s">
        <v>1206</v>
      </c>
      <c r="D457" t="str">
        <f>_xlfn.TEXTBEFORE(Tabla5[[#This Row],[archivo]],"/")</f>
        <v>joaquin_sabina</v>
      </c>
    </row>
    <row r="458" spans="1:4" x14ac:dyDescent="0.3">
      <c r="A458" t="s">
        <v>3224</v>
      </c>
      <c r="B458" t="s">
        <v>1170</v>
      </c>
      <c r="C458" t="s">
        <v>1170</v>
      </c>
      <c r="D458" t="str">
        <f>_xlfn.TEXTBEFORE(Tabla5[[#This Row],[archivo]],"/")</f>
        <v>joaquin_sabina</v>
      </c>
    </row>
    <row r="459" spans="1:4" x14ac:dyDescent="0.3">
      <c r="A459" t="s">
        <v>3225</v>
      </c>
      <c r="B459" t="s">
        <v>2084</v>
      </c>
      <c r="C459" t="s">
        <v>2084</v>
      </c>
      <c r="D459" t="str">
        <f>_xlfn.TEXTBEFORE(Tabla5[[#This Row],[archivo]],"/")</f>
        <v>joaquin_sabina</v>
      </c>
    </row>
    <row r="460" spans="1:4" x14ac:dyDescent="0.3">
      <c r="A460" t="s">
        <v>3226</v>
      </c>
      <c r="B460" t="s">
        <v>1172</v>
      </c>
      <c r="C460" t="s">
        <v>1172</v>
      </c>
      <c r="D460" t="str">
        <f>_xlfn.TEXTBEFORE(Tabla5[[#This Row],[archivo]],"/")</f>
        <v>joaquin_sabina</v>
      </c>
    </row>
    <row r="461" spans="1:4" x14ac:dyDescent="0.3">
      <c r="A461" t="s">
        <v>3227</v>
      </c>
      <c r="B461" t="s">
        <v>1218</v>
      </c>
      <c r="C461" t="s">
        <v>1218</v>
      </c>
      <c r="D461" t="str">
        <f>_xlfn.TEXTBEFORE(Tabla5[[#This Row],[archivo]],"/")</f>
        <v>joaquin_sabina</v>
      </c>
    </row>
    <row r="462" spans="1:4" x14ac:dyDescent="0.3">
      <c r="A462" t="s">
        <v>3228</v>
      </c>
      <c r="B462" t="s">
        <v>1194</v>
      </c>
      <c r="C462" t="s">
        <v>1194</v>
      </c>
      <c r="D462" t="str">
        <f>_xlfn.TEXTBEFORE(Tabla5[[#This Row],[archivo]],"/")</f>
        <v>joaquin_sabina</v>
      </c>
    </row>
    <row r="463" spans="1:4" x14ac:dyDescent="0.3">
      <c r="A463" t="s">
        <v>3229</v>
      </c>
      <c r="B463" t="s">
        <v>1195</v>
      </c>
      <c r="C463" t="s">
        <v>1195</v>
      </c>
      <c r="D463" t="str">
        <f>_xlfn.TEXTBEFORE(Tabla5[[#This Row],[archivo]],"/")</f>
        <v>joaquin_sabina</v>
      </c>
    </row>
    <row r="464" spans="1:4" x14ac:dyDescent="0.3">
      <c r="A464" t="s">
        <v>3230</v>
      </c>
      <c r="B464" t="s">
        <v>1094</v>
      </c>
      <c r="C464" t="s">
        <v>1094</v>
      </c>
      <c r="D464" t="str">
        <f>_xlfn.TEXTBEFORE(Tabla5[[#This Row],[archivo]],"/")</f>
        <v>joaquin_sabina</v>
      </c>
    </row>
    <row r="465" spans="1:4" x14ac:dyDescent="0.3">
      <c r="A465" t="s">
        <v>3231</v>
      </c>
      <c r="B465" t="s">
        <v>1108</v>
      </c>
      <c r="C465" t="s">
        <v>1108</v>
      </c>
      <c r="D465" t="str">
        <f>_xlfn.TEXTBEFORE(Tabla5[[#This Row],[archivo]],"/")</f>
        <v>joaquin_sabina</v>
      </c>
    </row>
    <row r="466" spans="1:4" x14ac:dyDescent="0.3">
      <c r="A466" t="s">
        <v>3232</v>
      </c>
      <c r="B466" t="s">
        <v>2692</v>
      </c>
      <c r="C466" t="s">
        <v>2692</v>
      </c>
      <c r="D466" t="str">
        <f>_xlfn.TEXTBEFORE(Tabla5[[#This Row],[archivo]],"/")</f>
        <v>joaquin_sabina</v>
      </c>
    </row>
    <row r="467" spans="1:4" x14ac:dyDescent="0.3">
      <c r="A467" t="s">
        <v>3233</v>
      </c>
      <c r="B467" t="s">
        <v>1188</v>
      </c>
      <c r="C467" t="s">
        <v>1188</v>
      </c>
      <c r="D467" t="str">
        <f>_xlfn.TEXTBEFORE(Tabla5[[#This Row],[archivo]],"/")</f>
        <v>joaquin_sabina</v>
      </c>
    </row>
    <row r="468" spans="1:4" x14ac:dyDescent="0.3">
      <c r="A468" t="s">
        <v>3234</v>
      </c>
      <c r="B468" t="s">
        <v>1184</v>
      </c>
      <c r="C468" t="s">
        <v>1184</v>
      </c>
      <c r="D468" t="str">
        <f>_xlfn.TEXTBEFORE(Tabla5[[#This Row],[archivo]],"/")</f>
        <v>joaquin_sabina</v>
      </c>
    </row>
    <row r="469" spans="1:4" x14ac:dyDescent="0.3">
      <c r="A469" t="s">
        <v>3235</v>
      </c>
      <c r="B469" t="s">
        <v>1083</v>
      </c>
      <c r="C469" t="s">
        <v>1083</v>
      </c>
      <c r="D469" t="str">
        <f>_xlfn.TEXTBEFORE(Tabla5[[#This Row],[archivo]],"/")</f>
        <v>joaquin_sabina</v>
      </c>
    </row>
    <row r="470" spans="1:4" x14ac:dyDescent="0.3">
      <c r="A470" t="s">
        <v>3236</v>
      </c>
      <c r="B470" t="s">
        <v>1200</v>
      </c>
      <c r="C470" t="s">
        <v>1200</v>
      </c>
      <c r="D470" t="str">
        <f>_xlfn.TEXTBEFORE(Tabla5[[#This Row],[archivo]],"/")</f>
        <v>joaquin_sabina</v>
      </c>
    </row>
    <row r="471" spans="1:4" x14ac:dyDescent="0.3">
      <c r="A471" t="s">
        <v>3237</v>
      </c>
      <c r="B471" t="s">
        <v>1136</v>
      </c>
      <c r="C471" t="s">
        <v>1136</v>
      </c>
      <c r="D471" t="str">
        <f>_xlfn.TEXTBEFORE(Tabla5[[#This Row],[archivo]],"/")</f>
        <v>joaquin_sabina</v>
      </c>
    </row>
    <row r="472" spans="1:4" x14ac:dyDescent="0.3">
      <c r="A472" t="s">
        <v>3238</v>
      </c>
      <c r="B472" t="s">
        <v>1177</v>
      </c>
      <c r="C472" t="s">
        <v>1177</v>
      </c>
      <c r="D472" t="str">
        <f>_xlfn.TEXTBEFORE(Tabla5[[#This Row],[archivo]],"/")</f>
        <v>joaquin_sabina</v>
      </c>
    </row>
    <row r="473" spans="1:4" x14ac:dyDescent="0.3">
      <c r="A473" t="s">
        <v>3239</v>
      </c>
      <c r="B473" t="s">
        <v>1117</v>
      </c>
      <c r="C473" t="s">
        <v>1117</v>
      </c>
      <c r="D473" t="str">
        <f>_xlfn.TEXTBEFORE(Tabla5[[#This Row],[archivo]],"/")</f>
        <v>joaquin_sabina</v>
      </c>
    </row>
    <row r="474" spans="1:4" x14ac:dyDescent="0.3">
      <c r="A474" t="s">
        <v>3240</v>
      </c>
      <c r="B474" t="s">
        <v>1134</v>
      </c>
      <c r="C474" t="s">
        <v>1134</v>
      </c>
      <c r="D474" t="str">
        <f>_xlfn.TEXTBEFORE(Tabla5[[#This Row],[archivo]],"/")</f>
        <v>joaquin_sabina</v>
      </c>
    </row>
    <row r="475" spans="1:4" x14ac:dyDescent="0.3">
      <c r="A475" t="s">
        <v>3241</v>
      </c>
      <c r="B475" t="s">
        <v>1167</v>
      </c>
      <c r="C475" t="s">
        <v>1167</v>
      </c>
      <c r="D475" t="str">
        <f>_xlfn.TEXTBEFORE(Tabla5[[#This Row],[archivo]],"/")</f>
        <v>joaquin_sabina</v>
      </c>
    </row>
    <row r="476" spans="1:4" x14ac:dyDescent="0.3">
      <c r="A476" t="s">
        <v>3242</v>
      </c>
      <c r="B476" t="s">
        <v>1185</v>
      </c>
      <c r="C476" t="s">
        <v>1185</v>
      </c>
      <c r="D476" t="str">
        <f>_xlfn.TEXTBEFORE(Tabla5[[#This Row],[archivo]],"/")</f>
        <v>joaquin_sabina</v>
      </c>
    </row>
    <row r="477" spans="1:4" x14ac:dyDescent="0.3">
      <c r="A477" t="s">
        <v>3243</v>
      </c>
      <c r="B477" t="s">
        <v>1100</v>
      </c>
      <c r="C477" t="s">
        <v>1100</v>
      </c>
      <c r="D477" t="str">
        <f>_xlfn.TEXTBEFORE(Tabla5[[#This Row],[archivo]],"/")</f>
        <v>joaquin_sabina</v>
      </c>
    </row>
    <row r="478" spans="1:4" x14ac:dyDescent="0.3">
      <c r="A478" t="s">
        <v>3244</v>
      </c>
      <c r="B478" t="s">
        <v>1122</v>
      </c>
      <c r="C478" t="s">
        <v>1122</v>
      </c>
      <c r="D478" t="str">
        <f>_xlfn.TEXTBEFORE(Tabla5[[#This Row],[archivo]],"/")</f>
        <v>joaquin_sabina</v>
      </c>
    </row>
    <row r="479" spans="1:4" x14ac:dyDescent="0.3">
      <c r="A479" t="s">
        <v>3245</v>
      </c>
      <c r="B479" t="s">
        <v>1090</v>
      </c>
      <c r="C479" t="s">
        <v>1090</v>
      </c>
      <c r="D479" t="str">
        <f>_xlfn.TEXTBEFORE(Tabla5[[#This Row],[archivo]],"/")</f>
        <v>joaquin_sabina</v>
      </c>
    </row>
    <row r="480" spans="1:4" x14ac:dyDescent="0.3">
      <c r="A480" t="s">
        <v>3246</v>
      </c>
      <c r="B480" t="s">
        <v>1228</v>
      </c>
      <c r="C480" t="s">
        <v>1228</v>
      </c>
      <c r="D480" t="str">
        <f>_xlfn.TEXTBEFORE(Tabla5[[#This Row],[archivo]],"/")</f>
        <v>joaquin_sabina</v>
      </c>
    </row>
    <row r="481" spans="1:4" x14ac:dyDescent="0.3">
      <c r="A481" t="s">
        <v>3247</v>
      </c>
      <c r="B481" t="s">
        <v>2693</v>
      </c>
      <c r="C481" t="s">
        <v>2693</v>
      </c>
      <c r="D481" t="str">
        <f>_xlfn.TEXTBEFORE(Tabla5[[#This Row],[archivo]],"/")</f>
        <v>joaquin_sabina</v>
      </c>
    </row>
    <row r="482" spans="1:4" x14ac:dyDescent="0.3">
      <c r="A482" t="s">
        <v>3248</v>
      </c>
      <c r="B482" t="s">
        <v>1099</v>
      </c>
      <c r="C482" t="s">
        <v>1099</v>
      </c>
      <c r="D482" t="str">
        <f>_xlfn.TEXTBEFORE(Tabla5[[#This Row],[archivo]],"/")</f>
        <v>joaquin_sabina</v>
      </c>
    </row>
    <row r="483" spans="1:4" x14ac:dyDescent="0.3">
      <c r="A483" t="s">
        <v>3249</v>
      </c>
      <c r="B483" t="s">
        <v>1149</v>
      </c>
      <c r="C483" t="s">
        <v>1149</v>
      </c>
      <c r="D483" t="str">
        <f>_xlfn.TEXTBEFORE(Tabla5[[#This Row],[archivo]],"/")</f>
        <v>joaquin_sabina</v>
      </c>
    </row>
    <row r="484" spans="1:4" x14ac:dyDescent="0.3">
      <c r="A484" t="s">
        <v>3250</v>
      </c>
      <c r="B484" t="s">
        <v>1220</v>
      </c>
      <c r="C484" t="s">
        <v>1220</v>
      </c>
      <c r="D484" t="str">
        <f>_xlfn.TEXTBEFORE(Tabla5[[#This Row],[archivo]],"/")</f>
        <v>joaquin_sabina</v>
      </c>
    </row>
    <row r="485" spans="1:4" x14ac:dyDescent="0.3">
      <c r="A485" t="s">
        <v>3251</v>
      </c>
      <c r="B485" t="s">
        <v>2694</v>
      </c>
      <c r="C485" t="s">
        <v>2694</v>
      </c>
      <c r="D485" t="str">
        <f>_xlfn.TEXTBEFORE(Tabla5[[#This Row],[archivo]],"/")</f>
        <v>joaquin_sabina</v>
      </c>
    </row>
    <row r="486" spans="1:4" x14ac:dyDescent="0.3">
      <c r="A486" t="s">
        <v>3252</v>
      </c>
      <c r="B486" t="s">
        <v>1104</v>
      </c>
      <c r="C486" t="s">
        <v>1104</v>
      </c>
      <c r="D486" t="str">
        <f>_xlfn.TEXTBEFORE(Tabla5[[#This Row],[archivo]],"/")</f>
        <v>joaquin_sabina</v>
      </c>
    </row>
    <row r="487" spans="1:4" x14ac:dyDescent="0.3">
      <c r="A487" t="s">
        <v>3253</v>
      </c>
      <c r="B487" t="s">
        <v>2695</v>
      </c>
      <c r="C487" t="s">
        <v>2695</v>
      </c>
      <c r="D487" t="str">
        <f>_xlfn.TEXTBEFORE(Tabla5[[#This Row],[archivo]],"/")</f>
        <v>joaquin_sabina</v>
      </c>
    </row>
    <row r="488" spans="1:4" x14ac:dyDescent="0.3">
      <c r="A488" t="s">
        <v>3254</v>
      </c>
      <c r="B488" t="s">
        <v>1226</v>
      </c>
      <c r="C488" t="s">
        <v>1226</v>
      </c>
      <c r="D488" t="str">
        <f>_xlfn.TEXTBEFORE(Tabla5[[#This Row],[archivo]],"/")</f>
        <v>joaquin_sabina</v>
      </c>
    </row>
    <row r="489" spans="1:4" x14ac:dyDescent="0.3">
      <c r="A489" t="s">
        <v>3255</v>
      </c>
      <c r="B489" t="s">
        <v>1106</v>
      </c>
      <c r="C489" t="s">
        <v>1106</v>
      </c>
      <c r="D489" t="str">
        <f>_xlfn.TEXTBEFORE(Tabla5[[#This Row],[archivo]],"/")</f>
        <v>joaquin_sabina</v>
      </c>
    </row>
    <row r="490" spans="1:4" x14ac:dyDescent="0.3">
      <c r="A490" t="s">
        <v>3256</v>
      </c>
      <c r="B490" t="s">
        <v>1217</v>
      </c>
      <c r="C490" t="s">
        <v>1217</v>
      </c>
      <c r="D490" t="str">
        <f>_xlfn.TEXTBEFORE(Tabla5[[#This Row],[archivo]],"/")</f>
        <v>joaquin_sabina</v>
      </c>
    </row>
    <row r="491" spans="1:4" x14ac:dyDescent="0.3">
      <c r="A491" t="s">
        <v>3257</v>
      </c>
      <c r="B491" t="s">
        <v>2696</v>
      </c>
      <c r="C491" t="s">
        <v>2696</v>
      </c>
      <c r="D491" t="str">
        <f>_xlfn.TEXTBEFORE(Tabla5[[#This Row],[archivo]],"/")</f>
        <v>joaquin_sabina</v>
      </c>
    </row>
    <row r="492" spans="1:4" x14ac:dyDescent="0.3">
      <c r="A492" t="s">
        <v>3258</v>
      </c>
      <c r="B492" t="s">
        <v>1103</v>
      </c>
      <c r="C492" t="s">
        <v>1103</v>
      </c>
      <c r="D492" t="str">
        <f>_xlfn.TEXTBEFORE(Tabla5[[#This Row],[archivo]],"/")</f>
        <v>joaquin_sabina</v>
      </c>
    </row>
    <row r="493" spans="1:4" x14ac:dyDescent="0.3">
      <c r="A493" t="s">
        <v>3259</v>
      </c>
      <c r="B493" t="s">
        <v>1189</v>
      </c>
      <c r="C493" t="s">
        <v>1189</v>
      </c>
      <c r="D493" t="str">
        <f>_xlfn.TEXTBEFORE(Tabla5[[#This Row],[archivo]],"/")</f>
        <v>joaquin_sabina</v>
      </c>
    </row>
    <row r="494" spans="1:4" x14ac:dyDescent="0.3">
      <c r="A494" t="s">
        <v>3260</v>
      </c>
      <c r="B494" t="s">
        <v>1098</v>
      </c>
      <c r="C494" t="s">
        <v>1098</v>
      </c>
      <c r="D494" t="str">
        <f>_xlfn.TEXTBEFORE(Tabla5[[#This Row],[archivo]],"/")</f>
        <v>joaquin_sabina</v>
      </c>
    </row>
    <row r="495" spans="1:4" x14ac:dyDescent="0.3">
      <c r="A495" t="s">
        <v>3261</v>
      </c>
      <c r="B495" t="s">
        <v>601</v>
      </c>
      <c r="C495" t="s">
        <v>601</v>
      </c>
      <c r="D495" t="str">
        <f>_xlfn.TEXTBEFORE(Tabla5[[#This Row],[archivo]],"/")</f>
        <v>joaquin_sabina</v>
      </c>
    </row>
    <row r="496" spans="1:4" x14ac:dyDescent="0.3">
      <c r="A496" t="s">
        <v>3262</v>
      </c>
      <c r="B496" t="s">
        <v>1151</v>
      </c>
      <c r="C496" t="s">
        <v>1151</v>
      </c>
      <c r="D496" t="str">
        <f>_xlfn.TEXTBEFORE(Tabla5[[#This Row],[archivo]],"/")</f>
        <v>joaquin_sabina</v>
      </c>
    </row>
    <row r="497" spans="1:4" x14ac:dyDescent="0.3">
      <c r="A497" t="s">
        <v>3263</v>
      </c>
      <c r="B497" t="s">
        <v>1196</v>
      </c>
      <c r="C497" t="s">
        <v>1196</v>
      </c>
      <c r="D497" t="str">
        <f>_xlfn.TEXTBEFORE(Tabla5[[#This Row],[archivo]],"/")</f>
        <v>joaquin_sabina</v>
      </c>
    </row>
    <row r="498" spans="1:4" x14ac:dyDescent="0.3">
      <c r="A498" t="s">
        <v>3264</v>
      </c>
      <c r="B498" t="s">
        <v>1138</v>
      </c>
      <c r="C498" t="s">
        <v>1138</v>
      </c>
      <c r="D498" t="str">
        <f>_xlfn.TEXTBEFORE(Tabla5[[#This Row],[archivo]],"/")</f>
        <v>joaquin_sabina</v>
      </c>
    </row>
    <row r="499" spans="1:4" x14ac:dyDescent="0.3">
      <c r="A499" t="s">
        <v>3265</v>
      </c>
      <c r="B499" t="s">
        <v>2458</v>
      </c>
      <c r="C499" t="s">
        <v>2458</v>
      </c>
      <c r="D499" t="str">
        <f>_xlfn.TEXTBEFORE(Tabla5[[#This Row],[archivo]],"/")</f>
        <v>joaquin_sabina</v>
      </c>
    </row>
    <row r="500" spans="1:4" x14ac:dyDescent="0.3">
      <c r="A500" t="s">
        <v>3266</v>
      </c>
      <c r="B500" t="s">
        <v>1224</v>
      </c>
      <c r="C500" t="s">
        <v>1224</v>
      </c>
      <c r="D500" t="str">
        <f>_xlfn.TEXTBEFORE(Tabla5[[#This Row],[archivo]],"/")</f>
        <v>joaquin_sabina</v>
      </c>
    </row>
    <row r="501" spans="1:4" x14ac:dyDescent="0.3">
      <c r="A501" t="s">
        <v>3267</v>
      </c>
      <c r="B501" t="s">
        <v>1080</v>
      </c>
      <c r="C501" t="s">
        <v>1080</v>
      </c>
      <c r="D501" t="str">
        <f>_xlfn.TEXTBEFORE(Tabla5[[#This Row],[archivo]],"/")</f>
        <v>joaquin_sabina</v>
      </c>
    </row>
    <row r="502" spans="1:4" x14ac:dyDescent="0.3">
      <c r="A502" t="s">
        <v>3268</v>
      </c>
      <c r="B502" t="s">
        <v>1152</v>
      </c>
      <c r="C502" t="s">
        <v>1152</v>
      </c>
      <c r="D502" t="str">
        <f>_xlfn.TEXTBEFORE(Tabla5[[#This Row],[archivo]],"/")</f>
        <v>joaquin_sabina</v>
      </c>
    </row>
    <row r="503" spans="1:4" x14ac:dyDescent="0.3">
      <c r="A503" t="s">
        <v>3269</v>
      </c>
      <c r="B503" t="s">
        <v>1197</v>
      </c>
      <c r="C503" t="s">
        <v>1197</v>
      </c>
      <c r="D503" t="str">
        <f>_xlfn.TEXTBEFORE(Tabla5[[#This Row],[archivo]],"/")</f>
        <v>joaquin_sabina</v>
      </c>
    </row>
    <row r="504" spans="1:4" x14ac:dyDescent="0.3">
      <c r="A504" t="s">
        <v>3270</v>
      </c>
      <c r="B504" t="s">
        <v>2380</v>
      </c>
      <c r="C504" t="s">
        <v>2380</v>
      </c>
      <c r="D504" t="str">
        <f>_xlfn.TEXTBEFORE(Tabla5[[#This Row],[archivo]],"/")</f>
        <v>joaquin_sabina</v>
      </c>
    </row>
    <row r="505" spans="1:4" x14ac:dyDescent="0.3">
      <c r="A505" t="s">
        <v>3271</v>
      </c>
      <c r="B505" t="s">
        <v>1131</v>
      </c>
      <c r="C505" t="s">
        <v>1131</v>
      </c>
      <c r="D505" t="str">
        <f>_xlfn.TEXTBEFORE(Tabla5[[#This Row],[archivo]],"/")</f>
        <v>joaquin_sabina</v>
      </c>
    </row>
    <row r="506" spans="1:4" x14ac:dyDescent="0.3">
      <c r="A506" t="s">
        <v>3272</v>
      </c>
      <c r="B506" t="s">
        <v>1161</v>
      </c>
      <c r="C506" t="s">
        <v>1161</v>
      </c>
      <c r="D506" t="str">
        <f>_xlfn.TEXTBEFORE(Tabla5[[#This Row],[archivo]],"/")</f>
        <v>joaquin_sabina</v>
      </c>
    </row>
    <row r="507" spans="1:4" x14ac:dyDescent="0.3">
      <c r="A507" t="s">
        <v>3273</v>
      </c>
      <c r="B507" t="s">
        <v>1114</v>
      </c>
      <c r="C507" t="s">
        <v>1114</v>
      </c>
      <c r="D507" t="str">
        <f>_xlfn.TEXTBEFORE(Tabla5[[#This Row],[archivo]],"/")</f>
        <v>joaquin_sabina</v>
      </c>
    </row>
    <row r="508" spans="1:4" x14ac:dyDescent="0.3">
      <c r="A508" t="s">
        <v>3274</v>
      </c>
      <c r="B508" t="s">
        <v>1173</v>
      </c>
      <c r="C508" t="s">
        <v>1173</v>
      </c>
      <c r="D508" t="str">
        <f>_xlfn.TEXTBEFORE(Tabla5[[#This Row],[archivo]],"/")</f>
        <v>joaquin_sabina</v>
      </c>
    </row>
    <row r="509" spans="1:4" x14ac:dyDescent="0.3">
      <c r="A509" t="s">
        <v>3275</v>
      </c>
      <c r="B509" t="s">
        <v>1204</v>
      </c>
      <c r="C509" t="s">
        <v>1204</v>
      </c>
      <c r="D509" t="str">
        <f>_xlfn.TEXTBEFORE(Tabla5[[#This Row],[archivo]],"/")</f>
        <v>joaquin_sabina</v>
      </c>
    </row>
    <row r="510" spans="1:4" x14ac:dyDescent="0.3">
      <c r="A510" t="s">
        <v>3276</v>
      </c>
      <c r="B510" t="s">
        <v>1210</v>
      </c>
      <c r="C510" t="s">
        <v>1210</v>
      </c>
      <c r="D510" t="str">
        <f>_xlfn.TEXTBEFORE(Tabla5[[#This Row],[archivo]],"/")</f>
        <v>joaquin_sabina</v>
      </c>
    </row>
    <row r="511" spans="1:4" x14ac:dyDescent="0.3">
      <c r="A511" t="s">
        <v>3277</v>
      </c>
      <c r="B511" t="s">
        <v>1202</v>
      </c>
      <c r="C511" t="s">
        <v>1202</v>
      </c>
      <c r="D511" t="str">
        <f>_xlfn.TEXTBEFORE(Tabla5[[#This Row],[archivo]],"/")</f>
        <v>joaquin_sabina</v>
      </c>
    </row>
    <row r="512" spans="1:4" x14ac:dyDescent="0.3">
      <c r="A512" t="s">
        <v>3278</v>
      </c>
      <c r="B512" t="s">
        <v>1150</v>
      </c>
      <c r="C512" t="s">
        <v>1150</v>
      </c>
      <c r="D512" t="str">
        <f>_xlfn.TEXTBEFORE(Tabla5[[#This Row],[archivo]],"/")</f>
        <v>joaquin_sabina</v>
      </c>
    </row>
    <row r="513" spans="1:4" x14ac:dyDescent="0.3">
      <c r="A513" t="s">
        <v>3279</v>
      </c>
      <c r="B513" t="s">
        <v>1198</v>
      </c>
      <c r="C513" t="s">
        <v>1198</v>
      </c>
      <c r="D513" t="str">
        <f>_xlfn.TEXTBEFORE(Tabla5[[#This Row],[archivo]],"/")</f>
        <v>joaquin_sabina</v>
      </c>
    </row>
    <row r="514" spans="1:4" x14ac:dyDescent="0.3">
      <c r="A514" t="s">
        <v>3280</v>
      </c>
      <c r="B514" t="s">
        <v>1155</v>
      </c>
      <c r="C514" t="s">
        <v>1155</v>
      </c>
      <c r="D514" t="str">
        <f>_xlfn.TEXTBEFORE(Tabla5[[#This Row],[archivo]],"/")</f>
        <v>joaquin_sabina</v>
      </c>
    </row>
    <row r="515" spans="1:4" x14ac:dyDescent="0.3">
      <c r="A515" t="s">
        <v>3281</v>
      </c>
      <c r="B515" t="s">
        <v>2697</v>
      </c>
      <c r="C515" t="s">
        <v>2697</v>
      </c>
      <c r="D515" t="str">
        <f>_xlfn.TEXTBEFORE(Tabla5[[#This Row],[archivo]],"/")</f>
        <v>joaquin_sabina</v>
      </c>
    </row>
    <row r="516" spans="1:4" x14ac:dyDescent="0.3">
      <c r="A516" t="s">
        <v>3282</v>
      </c>
      <c r="B516" t="s">
        <v>1180</v>
      </c>
      <c r="C516" t="s">
        <v>1180</v>
      </c>
      <c r="D516" t="str">
        <f>_xlfn.TEXTBEFORE(Tabla5[[#This Row],[archivo]],"/")</f>
        <v>joaquin_sabina</v>
      </c>
    </row>
    <row r="517" spans="1:4" x14ac:dyDescent="0.3">
      <c r="A517" t="s">
        <v>3283</v>
      </c>
      <c r="B517" t="s">
        <v>1128</v>
      </c>
      <c r="C517" t="s">
        <v>1128</v>
      </c>
      <c r="D517" t="str">
        <f>_xlfn.TEXTBEFORE(Tabla5[[#This Row],[archivo]],"/")</f>
        <v>joaquin_sabina</v>
      </c>
    </row>
    <row r="518" spans="1:4" x14ac:dyDescent="0.3">
      <c r="A518" t="s">
        <v>3284</v>
      </c>
      <c r="B518" t="s">
        <v>1047</v>
      </c>
      <c r="C518" t="s">
        <v>1047</v>
      </c>
      <c r="D518" t="str">
        <f>_xlfn.TEXTBEFORE(Tabla5[[#This Row],[archivo]],"/")</f>
        <v>joaquin_sabina</v>
      </c>
    </row>
    <row r="519" spans="1:4" x14ac:dyDescent="0.3">
      <c r="A519" t="s">
        <v>3285</v>
      </c>
      <c r="B519" t="s">
        <v>2107</v>
      </c>
      <c r="C519" t="s">
        <v>2107</v>
      </c>
      <c r="D519" t="str">
        <f>_xlfn.TEXTBEFORE(Tabla5[[#This Row],[archivo]],"/")</f>
        <v>joaquin_sabina</v>
      </c>
    </row>
    <row r="520" spans="1:4" x14ac:dyDescent="0.3">
      <c r="A520" t="s">
        <v>3286</v>
      </c>
      <c r="B520" t="s">
        <v>2698</v>
      </c>
      <c r="C520" t="s">
        <v>2698</v>
      </c>
      <c r="D520" t="str">
        <f>_xlfn.TEXTBEFORE(Tabla5[[#This Row],[archivo]],"/")</f>
        <v>joaquin_sabina</v>
      </c>
    </row>
    <row r="521" spans="1:4" x14ac:dyDescent="0.3">
      <c r="A521" t="s">
        <v>3287</v>
      </c>
      <c r="B521">
        <v>92</v>
      </c>
      <c r="C521">
        <v>92</v>
      </c>
      <c r="D521" t="str">
        <f>_xlfn.TEXTBEFORE(Tabla5[[#This Row],[archivo]],"/")</f>
        <v>leiva</v>
      </c>
    </row>
    <row r="522" spans="1:4" x14ac:dyDescent="0.3">
      <c r="A522" t="s">
        <v>3288</v>
      </c>
      <c r="B522" t="s">
        <v>1323</v>
      </c>
      <c r="C522" t="s">
        <v>1323</v>
      </c>
      <c r="D522" t="str">
        <f>_xlfn.TEXTBEFORE(Tabla5[[#This Row],[archivo]],"/")</f>
        <v>leiva</v>
      </c>
    </row>
    <row r="523" spans="1:4" x14ac:dyDescent="0.3">
      <c r="A523" t="s">
        <v>3289</v>
      </c>
      <c r="B523" t="s">
        <v>2699</v>
      </c>
      <c r="C523" t="s">
        <v>2699</v>
      </c>
      <c r="D523" t="str">
        <f>_xlfn.TEXTBEFORE(Tabla5[[#This Row],[archivo]],"/")</f>
        <v>leiva</v>
      </c>
    </row>
    <row r="524" spans="1:4" x14ac:dyDescent="0.3">
      <c r="A524" t="s">
        <v>3290</v>
      </c>
      <c r="B524" t="s">
        <v>1310</v>
      </c>
      <c r="C524" t="s">
        <v>1310</v>
      </c>
      <c r="D524" t="str">
        <f>_xlfn.TEXTBEFORE(Tabla5[[#This Row],[archivo]],"/")</f>
        <v>leiva</v>
      </c>
    </row>
    <row r="525" spans="1:4" x14ac:dyDescent="0.3">
      <c r="A525" t="s">
        <v>3291</v>
      </c>
      <c r="B525" t="s">
        <v>2272</v>
      </c>
      <c r="C525" t="s">
        <v>2272</v>
      </c>
      <c r="D525" t="str">
        <f>_xlfn.TEXTBEFORE(Tabla5[[#This Row],[archivo]],"/")</f>
        <v>leiva</v>
      </c>
    </row>
    <row r="526" spans="1:4" x14ac:dyDescent="0.3">
      <c r="A526" t="s">
        <v>3292</v>
      </c>
      <c r="B526" t="s">
        <v>1352</v>
      </c>
      <c r="C526" t="s">
        <v>1352</v>
      </c>
      <c r="D526" t="str">
        <f>_xlfn.TEXTBEFORE(Tabla5[[#This Row],[archivo]],"/")</f>
        <v>leiva</v>
      </c>
    </row>
    <row r="527" spans="1:4" x14ac:dyDescent="0.3">
      <c r="A527" t="s">
        <v>3293</v>
      </c>
      <c r="B527" t="s">
        <v>2274</v>
      </c>
      <c r="C527" t="s">
        <v>2274</v>
      </c>
      <c r="D527" t="str">
        <f>_xlfn.TEXTBEFORE(Tabla5[[#This Row],[archivo]],"/")</f>
        <v>leiva</v>
      </c>
    </row>
    <row r="528" spans="1:4" x14ac:dyDescent="0.3">
      <c r="A528" t="s">
        <v>3294</v>
      </c>
      <c r="B528" t="s">
        <v>1333</v>
      </c>
      <c r="C528" t="s">
        <v>1333</v>
      </c>
      <c r="D528" t="str">
        <f>_xlfn.TEXTBEFORE(Tabla5[[#This Row],[archivo]],"/")</f>
        <v>leiva</v>
      </c>
    </row>
    <row r="529" spans="1:4" x14ac:dyDescent="0.3">
      <c r="A529" t="s">
        <v>3295</v>
      </c>
      <c r="B529" t="s">
        <v>1322</v>
      </c>
      <c r="C529" t="s">
        <v>1322</v>
      </c>
      <c r="D529" t="str">
        <f>_xlfn.TEXTBEFORE(Tabla5[[#This Row],[archivo]],"/")</f>
        <v>leiva</v>
      </c>
    </row>
    <row r="530" spans="1:4" x14ac:dyDescent="0.3">
      <c r="A530" t="s">
        <v>3296</v>
      </c>
      <c r="B530" t="s">
        <v>1327</v>
      </c>
      <c r="C530" t="s">
        <v>1327</v>
      </c>
      <c r="D530" t="str">
        <f>_xlfn.TEXTBEFORE(Tabla5[[#This Row],[archivo]],"/")</f>
        <v>leiva</v>
      </c>
    </row>
    <row r="531" spans="1:4" x14ac:dyDescent="0.3">
      <c r="A531" t="s">
        <v>3297</v>
      </c>
      <c r="B531" t="s">
        <v>1349</v>
      </c>
      <c r="C531" t="s">
        <v>1349</v>
      </c>
      <c r="D531" t="str">
        <f>_xlfn.TEXTBEFORE(Tabla5[[#This Row],[archivo]],"/")</f>
        <v>leiva</v>
      </c>
    </row>
    <row r="532" spans="1:4" x14ac:dyDescent="0.3">
      <c r="A532" t="s">
        <v>3298</v>
      </c>
      <c r="B532" t="s">
        <v>2270</v>
      </c>
      <c r="C532" t="s">
        <v>2270</v>
      </c>
      <c r="D532" t="str">
        <f>_xlfn.TEXTBEFORE(Tabla5[[#This Row],[archivo]],"/")</f>
        <v>leiva</v>
      </c>
    </row>
    <row r="533" spans="1:4" x14ac:dyDescent="0.3">
      <c r="A533" t="s">
        <v>3299</v>
      </c>
      <c r="B533" t="s">
        <v>1350</v>
      </c>
      <c r="C533" t="s">
        <v>1350</v>
      </c>
      <c r="D533" t="str">
        <f>_xlfn.TEXTBEFORE(Tabla5[[#This Row],[archivo]],"/")</f>
        <v>leiva</v>
      </c>
    </row>
    <row r="534" spans="1:4" x14ac:dyDescent="0.3">
      <c r="A534" t="s">
        <v>3300</v>
      </c>
      <c r="B534" t="s">
        <v>1940</v>
      </c>
      <c r="C534" t="s">
        <v>1940</v>
      </c>
      <c r="D534" t="str">
        <f>_xlfn.TEXTBEFORE(Tabla5[[#This Row],[archivo]],"/")</f>
        <v>leiva</v>
      </c>
    </row>
    <row r="535" spans="1:4" x14ac:dyDescent="0.3">
      <c r="A535" t="s">
        <v>3301</v>
      </c>
      <c r="B535" t="s">
        <v>1334</v>
      </c>
      <c r="C535" t="s">
        <v>1334</v>
      </c>
      <c r="D535" t="str">
        <f>_xlfn.TEXTBEFORE(Tabla5[[#This Row],[archivo]],"/")</f>
        <v>leiva</v>
      </c>
    </row>
    <row r="536" spans="1:4" x14ac:dyDescent="0.3">
      <c r="A536" t="s">
        <v>3302</v>
      </c>
      <c r="B536" t="s">
        <v>1324</v>
      </c>
      <c r="C536" t="s">
        <v>1324</v>
      </c>
      <c r="D536" t="str">
        <f>_xlfn.TEXTBEFORE(Tabla5[[#This Row],[archivo]],"/")</f>
        <v>leiva</v>
      </c>
    </row>
    <row r="537" spans="1:4" x14ac:dyDescent="0.3">
      <c r="A537" t="s">
        <v>3303</v>
      </c>
      <c r="B537" t="s">
        <v>2271</v>
      </c>
      <c r="C537" t="s">
        <v>2271</v>
      </c>
      <c r="D537" t="str">
        <f>_xlfn.TEXTBEFORE(Tabla5[[#This Row],[archivo]],"/")</f>
        <v>leiva</v>
      </c>
    </row>
    <row r="538" spans="1:4" x14ac:dyDescent="0.3">
      <c r="A538" t="s">
        <v>3304</v>
      </c>
      <c r="B538" t="s">
        <v>1338</v>
      </c>
      <c r="C538" t="s">
        <v>1338</v>
      </c>
      <c r="D538" t="str">
        <f>_xlfn.TEXTBEFORE(Tabla5[[#This Row],[archivo]],"/")</f>
        <v>leiva</v>
      </c>
    </row>
    <row r="539" spans="1:4" x14ac:dyDescent="0.3">
      <c r="A539" t="s">
        <v>3305</v>
      </c>
      <c r="B539" t="s">
        <v>1353</v>
      </c>
      <c r="C539" t="s">
        <v>1353</v>
      </c>
      <c r="D539" t="str">
        <f>_xlfn.TEXTBEFORE(Tabla5[[#This Row],[archivo]],"/")</f>
        <v>leiva</v>
      </c>
    </row>
    <row r="540" spans="1:4" x14ac:dyDescent="0.3">
      <c r="A540" t="s">
        <v>3306</v>
      </c>
      <c r="B540" t="s">
        <v>1331</v>
      </c>
      <c r="C540" t="s">
        <v>1331</v>
      </c>
      <c r="D540" t="str">
        <f>_xlfn.TEXTBEFORE(Tabla5[[#This Row],[archivo]],"/")</f>
        <v>leiva</v>
      </c>
    </row>
    <row r="541" spans="1:4" x14ac:dyDescent="0.3">
      <c r="A541" t="s">
        <v>3307</v>
      </c>
      <c r="B541" t="s">
        <v>1308</v>
      </c>
      <c r="C541" t="s">
        <v>1308</v>
      </c>
      <c r="D541" t="str">
        <f>_xlfn.TEXTBEFORE(Tabla5[[#This Row],[archivo]],"/")</f>
        <v>leiva</v>
      </c>
    </row>
    <row r="542" spans="1:4" x14ac:dyDescent="0.3">
      <c r="A542" t="s">
        <v>3308</v>
      </c>
      <c r="B542" t="s">
        <v>1348</v>
      </c>
      <c r="C542" t="s">
        <v>1348</v>
      </c>
      <c r="D542" t="str">
        <f>_xlfn.TEXTBEFORE(Tabla5[[#This Row],[archivo]],"/")</f>
        <v>leiva</v>
      </c>
    </row>
    <row r="543" spans="1:4" x14ac:dyDescent="0.3">
      <c r="A543" t="s">
        <v>3309</v>
      </c>
      <c r="B543" t="s">
        <v>1342</v>
      </c>
      <c r="C543" t="s">
        <v>1342</v>
      </c>
      <c r="D543" t="str">
        <f>_xlfn.TEXTBEFORE(Tabla5[[#This Row],[archivo]],"/")</f>
        <v>leiva</v>
      </c>
    </row>
    <row r="544" spans="1:4" x14ac:dyDescent="0.3">
      <c r="A544" t="s">
        <v>3310</v>
      </c>
      <c r="B544" t="s">
        <v>1311</v>
      </c>
      <c r="C544" t="s">
        <v>1311</v>
      </c>
      <c r="D544" t="str">
        <f>_xlfn.TEXTBEFORE(Tabla5[[#This Row],[archivo]],"/")</f>
        <v>leiva</v>
      </c>
    </row>
    <row r="545" spans="1:4" x14ac:dyDescent="0.3">
      <c r="A545" t="s">
        <v>3311</v>
      </c>
      <c r="B545" t="s">
        <v>2263</v>
      </c>
      <c r="C545" t="s">
        <v>2263</v>
      </c>
      <c r="D545" t="str">
        <f>_xlfn.TEXTBEFORE(Tabla5[[#This Row],[archivo]],"/")</f>
        <v>leiva</v>
      </c>
    </row>
    <row r="546" spans="1:4" x14ac:dyDescent="0.3">
      <c r="A546" t="s">
        <v>3312</v>
      </c>
      <c r="B546" t="s">
        <v>1329</v>
      </c>
      <c r="C546" t="s">
        <v>1329</v>
      </c>
      <c r="D546" t="str">
        <f>_xlfn.TEXTBEFORE(Tabla5[[#This Row],[archivo]],"/")</f>
        <v>leiva</v>
      </c>
    </row>
    <row r="547" spans="1:4" x14ac:dyDescent="0.3">
      <c r="A547" t="s">
        <v>3313</v>
      </c>
      <c r="B547" t="s">
        <v>1351</v>
      </c>
      <c r="C547" t="s">
        <v>1351</v>
      </c>
      <c r="D547" t="str">
        <f>_xlfn.TEXTBEFORE(Tabla5[[#This Row],[archivo]],"/")</f>
        <v>leiva</v>
      </c>
    </row>
    <row r="548" spans="1:4" x14ac:dyDescent="0.3">
      <c r="A548" t="s">
        <v>3314</v>
      </c>
      <c r="B548" t="s">
        <v>1095</v>
      </c>
      <c r="C548" t="s">
        <v>1095</v>
      </c>
      <c r="D548" t="str">
        <f>_xlfn.TEXTBEFORE(Tabla5[[#This Row],[archivo]],"/")</f>
        <v>leiva</v>
      </c>
    </row>
    <row r="549" spans="1:4" x14ac:dyDescent="0.3">
      <c r="A549" t="s">
        <v>3315</v>
      </c>
      <c r="B549" t="s">
        <v>1325</v>
      </c>
      <c r="C549" t="s">
        <v>1325</v>
      </c>
      <c r="D549" t="str">
        <f>_xlfn.TEXTBEFORE(Tabla5[[#This Row],[archivo]],"/")</f>
        <v>leiva</v>
      </c>
    </row>
    <row r="550" spans="1:4" x14ac:dyDescent="0.3">
      <c r="A550" t="s">
        <v>3316</v>
      </c>
      <c r="B550" t="s">
        <v>2192</v>
      </c>
      <c r="C550" t="s">
        <v>2192</v>
      </c>
      <c r="D550" t="str">
        <f>_xlfn.TEXTBEFORE(Tabla5[[#This Row],[archivo]],"/")</f>
        <v>leiva</v>
      </c>
    </row>
    <row r="551" spans="1:4" x14ac:dyDescent="0.3">
      <c r="A551" t="s">
        <v>3317</v>
      </c>
      <c r="B551" t="s">
        <v>1316</v>
      </c>
      <c r="C551" t="s">
        <v>1316</v>
      </c>
      <c r="D551" t="str">
        <f>_xlfn.TEXTBEFORE(Tabla5[[#This Row],[archivo]],"/")</f>
        <v>leiva</v>
      </c>
    </row>
    <row r="552" spans="1:4" x14ac:dyDescent="0.3">
      <c r="A552" t="s">
        <v>3318</v>
      </c>
      <c r="B552" t="s">
        <v>1336</v>
      </c>
      <c r="C552" t="s">
        <v>1336</v>
      </c>
      <c r="D552" t="str">
        <f>_xlfn.TEXTBEFORE(Tabla5[[#This Row],[archivo]],"/")</f>
        <v>leiva</v>
      </c>
    </row>
    <row r="553" spans="1:4" x14ac:dyDescent="0.3">
      <c r="A553" t="s">
        <v>3319</v>
      </c>
      <c r="B553" t="s">
        <v>2193</v>
      </c>
      <c r="C553" t="s">
        <v>2193</v>
      </c>
      <c r="D553" t="str">
        <f>_xlfn.TEXTBEFORE(Tabla5[[#This Row],[archivo]],"/")</f>
        <v>leiva</v>
      </c>
    </row>
    <row r="554" spans="1:4" x14ac:dyDescent="0.3">
      <c r="A554" t="s">
        <v>3320</v>
      </c>
      <c r="B554" t="s">
        <v>2275</v>
      </c>
      <c r="C554" t="s">
        <v>2275</v>
      </c>
      <c r="D554" t="str">
        <f>_xlfn.TEXTBEFORE(Tabla5[[#This Row],[archivo]],"/")</f>
        <v>leiva</v>
      </c>
    </row>
    <row r="555" spans="1:4" x14ac:dyDescent="0.3">
      <c r="A555" t="s">
        <v>3321</v>
      </c>
      <c r="B555" t="s">
        <v>2268</v>
      </c>
      <c r="C555" t="s">
        <v>2268</v>
      </c>
      <c r="D555" t="str">
        <f>_xlfn.TEXTBEFORE(Tabla5[[#This Row],[archivo]],"/")</f>
        <v>leiva</v>
      </c>
    </row>
    <row r="556" spans="1:4" x14ac:dyDescent="0.3">
      <c r="A556" t="s">
        <v>3322</v>
      </c>
      <c r="B556" t="s">
        <v>1313</v>
      </c>
      <c r="C556" t="s">
        <v>1313</v>
      </c>
      <c r="D556" t="str">
        <f>_xlfn.TEXTBEFORE(Tabla5[[#This Row],[archivo]],"/")</f>
        <v>leiva</v>
      </c>
    </row>
    <row r="557" spans="1:4" x14ac:dyDescent="0.3">
      <c r="A557" t="s">
        <v>3323</v>
      </c>
      <c r="B557" t="s">
        <v>976</v>
      </c>
      <c r="C557" t="s">
        <v>976</v>
      </c>
      <c r="D557" t="str">
        <f>_xlfn.TEXTBEFORE(Tabla5[[#This Row],[archivo]],"/")</f>
        <v>leiva</v>
      </c>
    </row>
    <row r="558" spans="1:4" x14ac:dyDescent="0.3">
      <c r="A558" t="s">
        <v>3324</v>
      </c>
      <c r="B558" t="s">
        <v>1335</v>
      </c>
      <c r="C558" t="s">
        <v>1335</v>
      </c>
      <c r="D558" t="str">
        <f>_xlfn.TEXTBEFORE(Tabla5[[#This Row],[archivo]],"/")</f>
        <v>leiva</v>
      </c>
    </row>
    <row r="559" spans="1:4" x14ac:dyDescent="0.3">
      <c r="A559" t="s">
        <v>3325</v>
      </c>
      <c r="B559" t="s">
        <v>2276</v>
      </c>
      <c r="C559" t="s">
        <v>2276</v>
      </c>
      <c r="D559" t="str">
        <f>_xlfn.TEXTBEFORE(Tabla5[[#This Row],[archivo]],"/")</f>
        <v>leiva</v>
      </c>
    </row>
    <row r="560" spans="1:4" x14ac:dyDescent="0.3">
      <c r="A560" t="s">
        <v>3326</v>
      </c>
      <c r="B560" t="s">
        <v>1346</v>
      </c>
      <c r="C560" t="s">
        <v>1346</v>
      </c>
      <c r="D560" t="str">
        <f>_xlfn.TEXTBEFORE(Tabla5[[#This Row],[archivo]],"/")</f>
        <v>leiva</v>
      </c>
    </row>
    <row r="561" spans="1:4" x14ac:dyDescent="0.3">
      <c r="A561" t="s">
        <v>3327</v>
      </c>
      <c r="B561" t="s">
        <v>1319</v>
      </c>
      <c r="C561" t="s">
        <v>1319</v>
      </c>
      <c r="D561" t="str">
        <f>_xlfn.TEXTBEFORE(Tabla5[[#This Row],[archivo]],"/")</f>
        <v>leiva</v>
      </c>
    </row>
    <row r="562" spans="1:4" x14ac:dyDescent="0.3">
      <c r="A562" t="s">
        <v>3328</v>
      </c>
      <c r="B562" t="s">
        <v>1345</v>
      </c>
      <c r="C562" t="s">
        <v>1345</v>
      </c>
      <c r="D562" t="str">
        <f>_xlfn.TEXTBEFORE(Tabla5[[#This Row],[archivo]],"/")</f>
        <v>leiva</v>
      </c>
    </row>
    <row r="563" spans="1:4" x14ac:dyDescent="0.3">
      <c r="A563" t="s">
        <v>3329</v>
      </c>
      <c r="B563" t="s">
        <v>1339</v>
      </c>
      <c r="C563" t="s">
        <v>1339</v>
      </c>
      <c r="D563" t="str">
        <f>_xlfn.TEXTBEFORE(Tabla5[[#This Row],[archivo]],"/")</f>
        <v>leiva</v>
      </c>
    </row>
    <row r="564" spans="1:4" x14ac:dyDescent="0.3">
      <c r="A564" t="s">
        <v>3330</v>
      </c>
      <c r="B564" t="s">
        <v>1309</v>
      </c>
      <c r="C564" t="s">
        <v>1309</v>
      </c>
      <c r="D564" t="str">
        <f>_xlfn.TEXTBEFORE(Tabla5[[#This Row],[archivo]],"/")</f>
        <v>leiva</v>
      </c>
    </row>
    <row r="565" spans="1:4" x14ac:dyDescent="0.3">
      <c r="A565" t="s">
        <v>3331</v>
      </c>
      <c r="B565" t="s">
        <v>1326</v>
      </c>
      <c r="C565" t="s">
        <v>1326</v>
      </c>
      <c r="D565" t="str">
        <f>_xlfn.TEXTBEFORE(Tabla5[[#This Row],[archivo]],"/")</f>
        <v>leiva</v>
      </c>
    </row>
    <row r="566" spans="1:4" x14ac:dyDescent="0.3">
      <c r="A566" t="s">
        <v>3332</v>
      </c>
      <c r="B566" t="s">
        <v>1328</v>
      </c>
      <c r="C566" t="s">
        <v>1328</v>
      </c>
      <c r="D566" t="str">
        <f>_xlfn.TEXTBEFORE(Tabla5[[#This Row],[archivo]],"/")</f>
        <v>leiva</v>
      </c>
    </row>
    <row r="567" spans="1:4" x14ac:dyDescent="0.3">
      <c r="A567" t="s">
        <v>3333</v>
      </c>
      <c r="B567" t="s">
        <v>1941</v>
      </c>
      <c r="C567" t="s">
        <v>1941</v>
      </c>
      <c r="D567" t="str">
        <f>_xlfn.TEXTBEFORE(Tabla5[[#This Row],[archivo]],"/")</f>
        <v>leiva</v>
      </c>
    </row>
    <row r="568" spans="1:4" x14ac:dyDescent="0.3">
      <c r="A568" t="s">
        <v>3334</v>
      </c>
      <c r="B568" t="s">
        <v>1337</v>
      </c>
      <c r="C568" t="s">
        <v>1337</v>
      </c>
      <c r="D568" t="str">
        <f>_xlfn.TEXTBEFORE(Tabla5[[#This Row],[archivo]],"/")</f>
        <v>leiva</v>
      </c>
    </row>
    <row r="569" spans="1:4" x14ac:dyDescent="0.3">
      <c r="A569" t="s">
        <v>3335</v>
      </c>
      <c r="B569" t="s">
        <v>1942</v>
      </c>
      <c r="C569" t="s">
        <v>1942</v>
      </c>
      <c r="D569" t="str">
        <f>_xlfn.TEXTBEFORE(Tabla5[[#This Row],[archivo]],"/")</f>
        <v>leiva</v>
      </c>
    </row>
    <row r="570" spans="1:4" x14ac:dyDescent="0.3">
      <c r="A570" t="s">
        <v>3336</v>
      </c>
      <c r="B570" t="s">
        <v>1344</v>
      </c>
      <c r="C570" t="s">
        <v>1344</v>
      </c>
      <c r="D570" t="str">
        <f>_xlfn.TEXTBEFORE(Tabla5[[#This Row],[archivo]],"/")</f>
        <v>leiva</v>
      </c>
    </row>
    <row r="571" spans="1:4" x14ac:dyDescent="0.3">
      <c r="A571" t="s">
        <v>3337</v>
      </c>
      <c r="B571" t="s">
        <v>1347</v>
      </c>
      <c r="C571" t="s">
        <v>1347</v>
      </c>
      <c r="D571" t="str">
        <f>_xlfn.TEXTBEFORE(Tabla5[[#This Row],[archivo]],"/")</f>
        <v>leiva</v>
      </c>
    </row>
    <row r="572" spans="1:4" x14ac:dyDescent="0.3">
      <c r="A572" t="s">
        <v>3338</v>
      </c>
      <c r="B572" t="s">
        <v>1307</v>
      </c>
      <c r="C572" t="s">
        <v>1307</v>
      </c>
      <c r="D572" t="str">
        <f>_xlfn.TEXTBEFORE(Tabla5[[#This Row],[archivo]],"/")</f>
        <v>leiva</v>
      </c>
    </row>
    <row r="573" spans="1:4" x14ac:dyDescent="0.3">
      <c r="A573" t="s">
        <v>3339</v>
      </c>
      <c r="B573" t="s">
        <v>1341</v>
      </c>
      <c r="C573" t="s">
        <v>1341</v>
      </c>
      <c r="D573" t="str">
        <f>_xlfn.TEXTBEFORE(Tabla5[[#This Row],[archivo]],"/")</f>
        <v>leiva</v>
      </c>
    </row>
    <row r="574" spans="1:4" x14ac:dyDescent="0.3">
      <c r="A574" t="s">
        <v>3340</v>
      </c>
      <c r="B574" t="s">
        <v>1321</v>
      </c>
      <c r="C574" t="s">
        <v>1321</v>
      </c>
      <c r="D574" t="str">
        <f>_xlfn.TEXTBEFORE(Tabla5[[#This Row],[archivo]],"/")</f>
        <v>leiva</v>
      </c>
    </row>
    <row r="575" spans="1:4" x14ac:dyDescent="0.3">
      <c r="A575" t="s">
        <v>3341</v>
      </c>
      <c r="B575" t="s">
        <v>1943</v>
      </c>
      <c r="C575" t="s">
        <v>1943</v>
      </c>
      <c r="D575" t="str">
        <f>_xlfn.TEXTBEFORE(Tabla5[[#This Row],[archivo]],"/")</f>
        <v>leiva</v>
      </c>
    </row>
    <row r="576" spans="1:4" x14ac:dyDescent="0.3">
      <c r="A576" t="s">
        <v>3342</v>
      </c>
      <c r="B576" t="s">
        <v>2273</v>
      </c>
      <c r="C576" t="s">
        <v>2273</v>
      </c>
      <c r="D576" t="str">
        <f>_xlfn.TEXTBEFORE(Tabla5[[#This Row],[archivo]],"/")</f>
        <v>leiva</v>
      </c>
    </row>
    <row r="577" spans="1:4" x14ac:dyDescent="0.3">
      <c r="A577" t="s">
        <v>3343</v>
      </c>
      <c r="B577" t="s">
        <v>1312</v>
      </c>
      <c r="C577" t="s">
        <v>1312</v>
      </c>
      <c r="D577" t="str">
        <f>_xlfn.TEXTBEFORE(Tabla5[[#This Row],[archivo]],"/")</f>
        <v>leiva</v>
      </c>
    </row>
    <row r="578" spans="1:4" x14ac:dyDescent="0.3">
      <c r="A578" t="s">
        <v>3344</v>
      </c>
      <c r="B578" t="s">
        <v>1330</v>
      </c>
      <c r="C578" t="s">
        <v>1330</v>
      </c>
      <c r="D578" t="str">
        <f>_xlfn.TEXTBEFORE(Tabla5[[#This Row],[archivo]],"/")</f>
        <v>leiva</v>
      </c>
    </row>
    <row r="579" spans="1:4" x14ac:dyDescent="0.3">
      <c r="A579" t="s">
        <v>3345</v>
      </c>
      <c r="B579" t="s">
        <v>2269</v>
      </c>
      <c r="C579" t="s">
        <v>2269</v>
      </c>
      <c r="D579" t="str">
        <f>_xlfn.TEXTBEFORE(Tabla5[[#This Row],[archivo]],"/")</f>
        <v>leiva</v>
      </c>
    </row>
    <row r="580" spans="1:4" x14ac:dyDescent="0.3">
      <c r="A580" t="s">
        <v>3346</v>
      </c>
      <c r="B580" t="s">
        <v>2700</v>
      </c>
      <c r="C580" t="s">
        <v>2700</v>
      </c>
      <c r="D580" t="str">
        <f>_xlfn.TEXTBEFORE(Tabla5[[#This Row],[archivo]],"/")</f>
        <v>leiva</v>
      </c>
    </row>
    <row r="581" spans="1:4" x14ac:dyDescent="0.3">
      <c r="A581" t="s">
        <v>3347</v>
      </c>
      <c r="B581" t="s">
        <v>1332</v>
      </c>
      <c r="C581" t="s">
        <v>1332</v>
      </c>
      <c r="D581" t="str">
        <f>_xlfn.TEXTBEFORE(Tabla5[[#This Row],[archivo]],"/")</f>
        <v>leiva</v>
      </c>
    </row>
    <row r="582" spans="1:4" x14ac:dyDescent="0.3">
      <c r="A582" t="s">
        <v>3348</v>
      </c>
      <c r="B582" t="s">
        <v>1944</v>
      </c>
      <c r="C582" t="s">
        <v>1944</v>
      </c>
      <c r="D582" t="str">
        <f>_xlfn.TEXTBEFORE(Tabla5[[#This Row],[archivo]],"/")</f>
        <v>leiva</v>
      </c>
    </row>
    <row r="583" spans="1:4" x14ac:dyDescent="0.3">
      <c r="A583" t="s">
        <v>3349</v>
      </c>
      <c r="B583" t="s">
        <v>1945</v>
      </c>
      <c r="C583" t="s">
        <v>1945</v>
      </c>
      <c r="D583" t="str">
        <f>_xlfn.TEXTBEFORE(Tabla5[[#This Row],[archivo]],"/")</f>
        <v>leiva</v>
      </c>
    </row>
    <row r="584" spans="1:4" x14ac:dyDescent="0.3">
      <c r="A584" t="s">
        <v>3350</v>
      </c>
      <c r="B584" t="s">
        <v>2262</v>
      </c>
      <c r="C584" t="s">
        <v>2262</v>
      </c>
      <c r="D584" t="str">
        <f>_xlfn.TEXTBEFORE(Tabla5[[#This Row],[archivo]],"/")</f>
        <v>leiva</v>
      </c>
    </row>
    <row r="585" spans="1:4" x14ac:dyDescent="0.3">
      <c r="A585" t="s">
        <v>3351</v>
      </c>
      <c r="B585" t="s">
        <v>1318</v>
      </c>
      <c r="C585" t="s">
        <v>1318</v>
      </c>
      <c r="D585" t="str">
        <f>_xlfn.TEXTBEFORE(Tabla5[[#This Row],[archivo]],"/")</f>
        <v>leiva</v>
      </c>
    </row>
    <row r="586" spans="1:4" x14ac:dyDescent="0.3">
      <c r="A586" t="s">
        <v>3352</v>
      </c>
      <c r="B586" t="s">
        <v>1343</v>
      </c>
      <c r="C586" t="s">
        <v>1343</v>
      </c>
      <c r="D586" t="str">
        <f>_xlfn.TEXTBEFORE(Tabla5[[#This Row],[archivo]],"/")</f>
        <v>leiva</v>
      </c>
    </row>
    <row r="587" spans="1:4" x14ac:dyDescent="0.3">
      <c r="A587" t="s">
        <v>3353</v>
      </c>
      <c r="B587" t="s">
        <v>1314</v>
      </c>
      <c r="C587" t="s">
        <v>1314</v>
      </c>
      <c r="D587" t="str">
        <f>_xlfn.TEXTBEFORE(Tabla5[[#This Row],[archivo]],"/")</f>
        <v>leiva</v>
      </c>
    </row>
    <row r="588" spans="1:4" x14ac:dyDescent="0.3">
      <c r="A588" t="s">
        <v>3354</v>
      </c>
      <c r="B588" t="s">
        <v>1320</v>
      </c>
      <c r="C588" t="s">
        <v>1320</v>
      </c>
      <c r="D588" t="str">
        <f>_xlfn.TEXTBEFORE(Tabla5[[#This Row],[archivo]],"/")</f>
        <v>leiva</v>
      </c>
    </row>
    <row r="589" spans="1:4" x14ac:dyDescent="0.3">
      <c r="A589" t="s">
        <v>3355</v>
      </c>
      <c r="B589" t="s">
        <v>2701</v>
      </c>
      <c r="C589" t="s">
        <v>2701</v>
      </c>
      <c r="D589" t="str">
        <f>_xlfn.TEXTBEFORE(Tabla5[[#This Row],[archivo]],"/")</f>
        <v>leiva</v>
      </c>
    </row>
    <row r="590" spans="1:4" x14ac:dyDescent="0.3">
      <c r="A590" t="s">
        <v>3356</v>
      </c>
      <c r="B590" t="s">
        <v>1315</v>
      </c>
      <c r="C590" t="s">
        <v>1315</v>
      </c>
      <c r="D590" t="str">
        <f>_xlfn.TEXTBEFORE(Tabla5[[#This Row],[archivo]],"/")</f>
        <v>leiva</v>
      </c>
    </row>
    <row r="591" spans="1:4" x14ac:dyDescent="0.3">
      <c r="A591" t="s">
        <v>3357</v>
      </c>
      <c r="B591" t="s">
        <v>1946</v>
      </c>
      <c r="C591" t="s">
        <v>1946</v>
      </c>
      <c r="D591" t="str">
        <f>_xlfn.TEXTBEFORE(Tabla5[[#This Row],[archivo]],"/")</f>
        <v>leiva</v>
      </c>
    </row>
    <row r="592" spans="1:4" x14ac:dyDescent="0.3">
      <c r="A592" t="s">
        <v>3358</v>
      </c>
      <c r="B592" t="s">
        <v>1042</v>
      </c>
      <c r="C592" t="s">
        <v>1042</v>
      </c>
      <c r="D592" t="str">
        <f>_xlfn.TEXTBEFORE(Tabla5[[#This Row],[archivo]],"/")</f>
        <v>leiva</v>
      </c>
    </row>
    <row r="593" spans="1:4" x14ac:dyDescent="0.3">
      <c r="A593" t="s">
        <v>3359</v>
      </c>
      <c r="B593" t="s">
        <v>1317</v>
      </c>
      <c r="C593" t="s">
        <v>1317</v>
      </c>
      <c r="D593" t="str">
        <f>_xlfn.TEXTBEFORE(Tabla5[[#This Row],[archivo]],"/")</f>
        <v>leiva</v>
      </c>
    </row>
    <row r="594" spans="1:4" x14ac:dyDescent="0.3">
      <c r="A594" t="s">
        <v>3360</v>
      </c>
      <c r="B594" t="s">
        <v>124</v>
      </c>
      <c r="C594" t="s">
        <v>124</v>
      </c>
      <c r="D594" t="str">
        <f>_xlfn.TEXTBEFORE(Tabla5[[#This Row],[archivo]],"/")</f>
        <v>lovg</v>
      </c>
    </row>
    <row r="595" spans="1:4" x14ac:dyDescent="0.3">
      <c r="A595" t="s">
        <v>3361</v>
      </c>
      <c r="B595" t="s">
        <v>186</v>
      </c>
      <c r="C595" t="s">
        <v>186</v>
      </c>
      <c r="D595" t="str">
        <f>_xlfn.TEXTBEFORE(Tabla5[[#This Row],[archivo]],"/")</f>
        <v>lovg</v>
      </c>
    </row>
    <row r="596" spans="1:4" x14ac:dyDescent="0.3">
      <c r="A596" t="s">
        <v>3362</v>
      </c>
      <c r="B596" t="s">
        <v>1239</v>
      </c>
      <c r="C596" t="s">
        <v>1239</v>
      </c>
      <c r="D596" t="str">
        <f>_xlfn.TEXTBEFORE(Tabla5[[#This Row],[archivo]],"/")</f>
        <v>lovg</v>
      </c>
    </row>
    <row r="597" spans="1:4" x14ac:dyDescent="0.3">
      <c r="A597" t="s">
        <v>3363</v>
      </c>
      <c r="B597" t="s">
        <v>126</v>
      </c>
      <c r="C597" t="s">
        <v>126</v>
      </c>
      <c r="D597" t="str">
        <f>_xlfn.TEXTBEFORE(Tabla5[[#This Row],[archivo]],"/")</f>
        <v>lovg</v>
      </c>
    </row>
    <row r="598" spans="1:4" x14ac:dyDescent="0.3">
      <c r="A598" t="s">
        <v>3364</v>
      </c>
      <c r="B598" t="s">
        <v>127</v>
      </c>
      <c r="C598" t="s">
        <v>127</v>
      </c>
      <c r="D598" t="str">
        <f>_xlfn.TEXTBEFORE(Tabla5[[#This Row],[archivo]],"/")</f>
        <v>lovg</v>
      </c>
    </row>
    <row r="599" spans="1:4" x14ac:dyDescent="0.3">
      <c r="A599" t="s">
        <v>3365</v>
      </c>
      <c r="B599" t="s">
        <v>128</v>
      </c>
      <c r="C599" t="s">
        <v>128</v>
      </c>
      <c r="D599" t="str">
        <f>_xlfn.TEXTBEFORE(Tabla5[[#This Row],[archivo]],"/")</f>
        <v>lovg</v>
      </c>
    </row>
    <row r="600" spans="1:4" x14ac:dyDescent="0.3">
      <c r="A600" t="s">
        <v>3366</v>
      </c>
      <c r="B600" t="s">
        <v>129</v>
      </c>
      <c r="C600" t="s">
        <v>129</v>
      </c>
      <c r="D600" t="str">
        <f>_xlfn.TEXTBEFORE(Tabla5[[#This Row],[archivo]],"/")</f>
        <v>lovg</v>
      </c>
    </row>
    <row r="601" spans="1:4" x14ac:dyDescent="0.3">
      <c r="A601" t="s">
        <v>3367</v>
      </c>
      <c r="B601" t="s">
        <v>125</v>
      </c>
      <c r="C601" t="s">
        <v>125</v>
      </c>
      <c r="D601" t="str">
        <f>_xlfn.TEXTBEFORE(Tabla5[[#This Row],[archivo]],"/")</f>
        <v>lovg</v>
      </c>
    </row>
    <row r="602" spans="1:4" x14ac:dyDescent="0.3">
      <c r="A602" t="s">
        <v>3368</v>
      </c>
      <c r="B602" t="s">
        <v>130</v>
      </c>
      <c r="C602" t="s">
        <v>130</v>
      </c>
      <c r="D602" t="str">
        <f>_xlfn.TEXTBEFORE(Tabla5[[#This Row],[archivo]],"/")</f>
        <v>lovg</v>
      </c>
    </row>
    <row r="603" spans="1:4" x14ac:dyDescent="0.3">
      <c r="A603" t="s">
        <v>3369</v>
      </c>
      <c r="B603" t="s">
        <v>187</v>
      </c>
      <c r="C603" t="s">
        <v>187</v>
      </c>
      <c r="D603" t="str">
        <f>_xlfn.TEXTBEFORE(Tabla5[[#This Row],[archivo]],"/")</f>
        <v>lovg</v>
      </c>
    </row>
    <row r="604" spans="1:4" x14ac:dyDescent="0.3">
      <c r="A604" t="s">
        <v>3370</v>
      </c>
      <c r="B604" t="s">
        <v>131</v>
      </c>
      <c r="C604" t="s">
        <v>131</v>
      </c>
      <c r="D604" t="str">
        <f>_xlfn.TEXTBEFORE(Tabla5[[#This Row],[archivo]],"/")</f>
        <v>lovg</v>
      </c>
    </row>
    <row r="605" spans="1:4" x14ac:dyDescent="0.3">
      <c r="A605" t="s">
        <v>3371</v>
      </c>
      <c r="B605" t="s">
        <v>188</v>
      </c>
      <c r="C605" t="s">
        <v>188</v>
      </c>
      <c r="D605" t="str">
        <f>_xlfn.TEXTBEFORE(Tabla5[[#This Row],[archivo]],"/")</f>
        <v>lovg</v>
      </c>
    </row>
    <row r="606" spans="1:4" x14ac:dyDescent="0.3">
      <c r="A606" t="s">
        <v>3372</v>
      </c>
      <c r="B606" t="s">
        <v>1236</v>
      </c>
      <c r="C606" t="s">
        <v>1236</v>
      </c>
      <c r="D606" t="str">
        <f>_xlfn.TEXTBEFORE(Tabla5[[#This Row],[archivo]],"/")</f>
        <v>lovg</v>
      </c>
    </row>
    <row r="607" spans="1:4" x14ac:dyDescent="0.3">
      <c r="A607" t="s">
        <v>3373</v>
      </c>
      <c r="B607" t="s">
        <v>132</v>
      </c>
      <c r="C607" t="s">
        <v>132</v>
      </c>
      <c r="D607" t="str">
        <f>_xlfn.TEXTBEFORE(Tabla5[[#This Row],[archivo]],"/")</f>
        <v>lovg</v>
      </c>
    </row>
    <row r="608" spans="1:4" x14ac:dyDescent="0.3">
      <c r="A608" t="s">
        <v>3374</v>
      </c>
      <c r="B608" t="s">
        <v>189</v>
      </c>
      <c r="C608" t="s">
        <v>189</v>
      </c>
      <c r="D608" t="str">
        <f>_xlfn.TEXTBEFORE(Tabla5[[#This Row],[archivo]],"/")</f>
        <v>lovg</v>
      </c>
    </row>
    <row r="609" spans="1:4" x14ac:dyDescent="0.3">
      <c r="A609" t="s">
        <v>3375</v>
      </c>
      <c r="B609" t="s">
        <v>190</v>
      </c>
      <c r="C609" t="s">
        <v>190</v>
      </c>
      <c r="D609" t="str">
        <f>_xlfn.TEXTBEFORE(Tabla5[[#This Row],[archivo]],"/")</f>
        <v>lovg</v>
      </c>
    </row>
    <row r="610" spans="1:4" x14ac:dyDescent="0.3">
      <c r="A610" t="s">
        <v>3376</v>
      </c>
      <c r="B610" t="s">
        <v>133</v>
      </c>
      <c r="C610" t="s">
        <v>133</v>
      </c>
      <c r="D610" t="str">
        <f>_xlfn.TEXTBEFORE(Tabla5[[#This Row],[archivo]],"/")</f>
        <v>lovg</v>
      </c>
    </row>
    <row r="611" spans="1:4" x14ac:dyDescent="0.3">
      <c r="A611" t="s">
        <v>3377</v>
      </c>
      <c r="B611" t="s">
        <v>134</v>
      </c>
      <c r="C611" t="s">
        <v>134</v>
      </c>
      <c r="D611" t="str">
        <f>_xlfn.TEXTBEFORE(Tabla5[[#This Row],[archivo]],"/")</f>
        <v>lovg</v>
      </c>
    </row>
    <row r="612" spans="1:4" x14ac:dyDescent="0.3">
      <c r="A612" t="s">
        <v>3378</v>
      </c>
      <c r="B612" t="s">
        <v>135</v>
      </c>
      <c r="C612" t="s">
        <v>135</v>
      </c>
      <c r="D612" t="str">
        <f>_xlfn.TEXTBEFORE(Tabla5[[#This Row],[archivo]],"/")</f>
        <v>lovg</v>
      </c>
    </row>
    <row r="613" spans="1:4" x14ac:dyDescent="0.3">
      <c r="A613" t="s">
        <v>3379</v>
      </c>
      <c r="B613" t="s">
        <v>191</v>
      </c>
      <c r="C613" t="s">
        <v>191</v>
      </c>
      <c r="D613" t="str">
        <f>_xlfn.TEXTBEFORE(Tabla5[[#This Row],[archivo]],"/")</f>
        <v>lovg</v>
      </c>
    </row>
    <row r="614" spans="1:4" x14ac:dyDescent="0.3">
      <c r="A614" t="s">
        <v>3380</v>
      </c>
      <c r="B614" t="s">
        <v>136</v>
      </c>
      <c r="C614" t="s">
        <v>136</v>
      </c>
      <c r="D614" t="str">
        <f>_xlfn.TEXTBEFORE(Tabla5[[#This Row],[archivo]],"/")</f>
        <v>lovg</v>
      </c>
    </row>
    <row r="615" spans="1:4" x14ac:dyDescent="0.3">
      <c r="A615" t="s">
        <v>3381</v>
      </c>
      <c r="B615" t="s">
        <v>137</v>
      </c>
      <c r="C615" t="s">
        <v>137</v>
      </c>
      <c r="D615" t="str">
        <f>_xlfn.TEXTBEFORE(Tabla5[[#This Row],[archivo]],"/")</f>
        <v>lovg</v>
      </c>
    </row>
    <row r="616" spans="1:4" x14ac:dyDescent="0.3">
      <c r="A616" t="s">
        <v>3382</v>
      </c>
      <c r="B616" t="s">
        <v>138</v>
      </c>
      <c r="C616" t="s">
        <v>138</v>
      </c>
      <c r="D616" t="str">
        <f>_xlfn.TEXTBEFORE(Tabla5[[#This Row],[archivo]],"/")</f>
        <v>lovg</v>
      </c>
    </row>
    <row r="617" spans="1:4" x14ac:dyDescent="0.3">
      <c r="A617" t="s">
        <v>3383</v>
      </c>
      <c r="B617" t="s">
        <v>139</v>
      </c>
      <c r="C617" t="s">
        <v>139</v>
      </c>
      <c r="D617" t="str">
        <f>_xlfn.TEXTBEFORE(Tabla5[[#This Row],[archivo]],"/")</f>
        <v>lovg</v>
      </c>
    </row>
    <row r="618" spans="1:4" x14ac:dyDescent="0.3">
      <c r="A618" t="s">
        <v>3384</v>
      </c>
      <c r="B618" t="s">
        <v>192</v>
      </c>
      <c r="C618" t="s">
        <v>192</v>
      </c>
      <c r="D618" t="str">
        <f>_xlfn.TEXTBEFORE(Tabla5[[#This Row],[archivo]],"/")</f>
        <v>lovg</v>
      </c>
    </row>
    <row r="619" spans="1:4" x14ac:dyDescent="0.3">
      <c r="A619" t="s">
        <v>3385</v>
      </c>
      <c r="B619" t="s">
        <v>192</v>
      </c>
      <c r="C619" t="s">
        <v>192</v>
      </c>
      <c r="D619" t="str">
        <f>_xlfn.TEXTBEFORE(Tabla5[[#This Row],[archivo]],"/")</f>
        <v>lovg</v>
      </c>
    </row>
    <row r="620" spans="1:4" x14ac:dyDescent="0.3">
      <c r="A620" t="s">
        <v>3386</v>
      </c>
      <c r="B620" t="s">
        <v>193</v>
      </c>
      <c r="C620" t="s">
        <v>193</v>
      </c>
      <c r="D620" t="str">
        <f>_xlfn.TEXTBEFORE(Tabla5[[#This Row],[archivo]],"/")</f>
        <v>lovg</v>
      </c>
    </row>
    <row r="621" spans="1:4" x14ac:dyDescent="0.3">
      <c r="A621" t="s">
        <v>3387</v>
      </c>
      <c r="B621" t="s">
        <v>2702</v>
      </c>
      <c r="C621" t="s">
        <v>2702</v>
      </c>
      <c r="D621" t="str">
        <f>_xlfn.TEXTBEFORE(Tabla5[[#This Row],[archivo]],"/")</f>
        <v>lovg</v>
      </c>
    </row>
    <row r="622" spans="1:4" x14ac:dyDescent="0.3">
      <c r="A622" t="s">
        <v>3388</v>
      </c>
      <c r="B622" t="s">
        <v>1238</v>
      </c>
      <c r="C622" t="s">
        <v>1238</v>
      </c>
      <c r="D622" t="str">
        <f>_xlfn.TEXTBEFORE(Tabla5[[#This Row],[archivo]],"/")</f>
        <v>lovg</v>
      </c>
    </row>
    <row r="623" spans="1:4" x14ac:dyDescent="0.3">
      <c r="A623" t="s">
        <v>3389</v>
      </c>
      <c r="B623" t="s">
        <v>194</v>
      </c>
      <c r="C623" t="s">
        <v>194</v>
      </c>
      <c r="D623" t="str">
        <f>_xlfn.TEXTBEFORE(Tabla5[[#This Row],[archivo]],"/")</f>
        <v>lovg</v>
      </c>
    </row>
    <row r="624" spans="1:4" x14ac:dyDescent="0.3">
      <c r="A624" t="s">
        <v>3390</v>
      </c>
      <c r="B624" t="s">
        <v>142</v>
      </c>
      <c r="C624" t="s">
        <v>142</v>
      </c>
      <c r="D624" t="str">
        <f>_xlfn.TEXTBEFORE(Tabla5[[#This Row],[archivo]],"/")</f>
        <v>lovg</v>
      </c>
    </row>
    <row r="625" spans="1:4" x14ac:dyDescent="0.3">
      <c r="A625" t="s">
        <v>3391</v>
      </c>
      <c r="B625" t="s">
        <v>143</v>
      </c>
      <c r="C625" t="s">
        <v>143</v>
      </c>
      <c r="D625" t="str">
        <f>_xlfn.TEXTBEFORE(Tabla5[[#This Row],[archivo]],"/")</f>
        <v>lovg</v>
      </c>
    </row>
    <row r="626" spans="1:4" x14ac:dyDescent="0.3">
      <c r="A626" t="s">
        <v>3392</v>
      </c>
      <c r="B626" t="s">
        <v>195</v>
      </c>
      <c r="C626" t="s">
        <v>195</v>
      </c>
      <c r="D626" t="str">
        <f>_xlfn.TEXTBEFORE(Tabla5[[#This Row],[archivo]],"/")</f>
        <v>lovg</v>
      </c>
    </row>
    <row r="627" spans="1:4" x14ac:dyDescent="0.3">
      <c r="A627" t="s">
        <v>3393</v>
      </c>
      <c r="B627" t="s">
        <v>144</v>
      </c>
      <c r="C627" t="s">
        <v>144</v>
      </c>
      <c r="D627" t="str">
        <f>_xlfn.TEXTBEFORE(Tabla5[[#This Row],[archivo]],"/")</f>
        <v>lovg</v>
      </c>
    </row>
    <row r="628" spans="1:4" x14ac:dyDescent="0.3">
      <c r="A628" t="s">
        <v>3394</v>
      </c>
      <c r="B628" t="s">
        <v>145</v>
      </c>
      <c r="C628" t="s">
        <v>145</v>
      </c>
      <c r="D628" t="str">
        <f>_xlfn.TEXTBEFORE(Tabla5[[#This Row],[archivo]],"/")</f>
        <v>lovg</v>
      </c>
    </row>
    <row r="629" spans="1:4" x14ac:dyDescent="0.3">
      <c r="A629" t="s">
        <v>3395</v>
      </c>
      <c r="B629" t="s">
        <v>196</v>
      </c>
      <c r="C629" t="s">
        <v>196</v>
      </c>
      <c r="D629" t="str">
        <f>_xlfn.TEXTBEFORE(Tabla5[[#This Row],[archivo]],"/")</f>
        <v>lovg</v>
      </c>
    </row>
    <row r="630" spans="1:4" x14ac:dyDescent="0.3">
      <c r="A630" t="s">
        <v>3396</v>
      </c>
      <c r="B630" t="s">
        <v>146</v>
      </c>
      <c r="C630" t="s">
        <v>146</v>
      </c>
      <c r="D630" t="str">
        <f>_xlfn.TEXTBEFORE(Tabla5[[#This Row],[archivo]],"/")</f>
        <v>lovg</v>
      </c>
    </row>
    <row r="631" spans="1:4" x14ac:dyDescent="0.3">
      <c r="A631" t="s">
        <v>3397</v>
      </c>
      <c r="B631" t="s">
        <v>197</v>
      </c>
      <c r="C631" t="s">
        <v>197</v>
      </c>
      <c r="D631" t="str">
        <f>_xlfn.TEXTBEFORE(Tabla5[[#This Row],[archivo]],"/")</f>
        <v>lovg</v>
      </c>
    </row>
    <row r="632" spans="1:4" x14ac:dyDescent="0.3">
      <c r="A632" t="s">
        <v>3398</v>
      </c>
      <c r="B632" t="s">
        <v>198</v>
      </c>
      <c r="C632" t="s">
        <v>198</v>
      </c>
      <c r="D632" t="str">
        <f>_xlfn.TEXTBEFORE(Tabla5[[#This Row],[archivo]],"/")</f>
        <v>lovg</v>
      </c>
    </row>
    <row r="633" spans="1:4" x14ac:dyDescent="0.3">
      <c r="A633" t="s">
        <v>3399</v>
      </c>
      <c r="B633" t="s">
        <v>147</v>
      </c>
      <c r="C633" t="s">
        <v>147</v>
      </c>
      <c r="D633" t="str">
        <f>_xlfn.TEXTBEFORE(Tabla5[[#This Row],[archivo]],"/")</f>
        <v>lovg</v>
      </c>
    </row>
    <row r="634" spans="1:4" x14ac:dyDescent="0.3">
      <c r="A634" t="s">
        <v>3400</v>
      </c>
      <c r="B634" t="s">
        <v>199</v>
      </c>
      <c r="C634" t="s">
        <v>199</v>
      </c>
      <c r="D634" t="str">
        <f>_xlfn.TEXTBEFORE(Tabla5[[#This Row],[archivo]],"/")</f>
        <v>lovg</v>
      </c>
    </row>
    <row r="635" spans="1:4" x14ac:dyDescent="0.3">
      <c r="A635" t="s">
        <v>3401</v>
      </c>
      <c r="B635" t="s">
        <v>148</v>
      </c>
      <c r="C635" t="s">
        <v>148</v>
      </c>
      <c r="D635" t="str">
        <f>_xlfn.TEXTBEFORE(Tabla5[[#This Row],[archivo]],"/")</f>
        <v>lovg</v>
      </c>
    </row>
    <row r="636" spans="1:4" x14ac:dyDescent="0.3">
      <c r="A636" t="s">
        <v>3402</v>
      </c>
      <c r="B636" t="s">
        <v>200</v>
      </c>
      <c r="C636" t="s">
        <v>200</v>
      </c>
      <c r="D636" t="str">
        <f>_xlfn.TEXTBEFORE(Tabla5[[#This Row],[archivo]],"/")</f>
        <v>lovg</v>
      </c>
    </row>
    <row r="637" spans="1:4" x14ac:dyDescent="0.3">
      <c r="A637" t="s">
        <v>3403</v>
      </c>
      <c r="B637" t="s">
        <v>201</v>
      </c>
      <c r="C637" t="s">
        <v>201</v>
      </c>
      <c r="D637" t="str">
        <f>_xlfn.TEXTBEFORE(Tabla5[[#This Row],[archivo]],"/")</f>
        <v>lovg</v>
      </c>
    </row>
    <row r="638" spans="1:4" x14ac:dyDescent="0.3">
      <c r="A638" t="s">
        <v>3404</v>
      </c>
      <c r="B638" t="s">
        <v>202</v>
      </c>
      <c r="C638" t="s">
        <v>202</v>
      </c>
      <c r="D638" t="str">
        <f>_xlfn.TEXTBEFORE(Tabla5[[#This Row],[archivo]],"/")</f>
        <v>lovg</v>
      </c>
    </row>
    <row r="639" spans="1:4" x14ac:dyDescent="0.3">
      <c r="A639" t="s">
        <v>3405</v>
      </c>
      <c r="B639" t="s">
        <v>149</v>
      </c>
      <c r="C639" t="s">
        <v>149</v>
      </c>
      <c r="D639" t="str">
        <f>_xlfn.TEXTBEFORE(Tabla5[[#This Row],[archivo]],"/")</f>
        <v>lovg</v>
      </c>
    </row>
    <row r="640" spans="1:4" x14ac:dyDescent="0.3">
      <c r="A640" t="s">
        <v>3406</v>
      </c>
      <c r="B640" t="s">
        <v>203</v>
      </c>
      <c r="C640" t="s">
        <v>203</v>
      </c>
      <c r="D640" t="str">
        <f>_xlfn.TEXTBEFORE(Tabla5[[#This Row],[archivo]],"/")</f>
        <v>lovg</v>
      </c>
    </row>
    <row r="641" spans="1:4" x14ac:dyDescent="0.3">
      <c r="A641" t="s">
        <v>3407</v>
      </c>
      <c r="B641" t="s">
        <v>1237</v>
      </c>
      <c r="C641" t="s">
        <v>1237</v>
      </c>
      <c r="D641" t="str">
        <f>_xlfn.TEXTBEFORE(Tabla5[[#This Row],[archivo]],"/")</f>
        <v>lovg</v>
      </c>
    </row>
    <row r="642" spans="1:4" x14ac:dyDescent="0.3">
      <c r="A642" t="s">
        <v>3408</v>
      </c>
      <c r="B642" t="s">
        <v>150</v>
      </c>
      <c r="C642" t="s">
        <v>150</v>
      </c>
      <c r="D642" t="str">
        <f>_xlfn.TEXTBEFORE(Tabla5[[#This Row],[archivo]],"/")</f>
        <v>lovg</v>
      </c>
    </row>
    <row r="643" spans="1:4" x14ac:dyDescent="0.3">
      <c r="A643" t="s">
        <v>3409</v>
      </c>
      <c r="B643" t="s">
        <v>151</v>
      </c>
      <c r="C643" t="s">
        <v>151</v>
      </c>
      <c r="D643" t="str">
        <f>_xlfn.TEXTBEFORE(Tabla5[[#This Row],[archivo]],"/")</f>
        <v>lovg</v>
      </c>
    </row>
    <row r="644" spans="1:4" x14ac:dyDescent="0.3">
      <c r="A644" t="s">
        <v>3410</v>
      </c>
      <c r="B644" t="s">
        <v>204</v>
      </c>
      <c r="C644" t="s">
        <v>204</v>
      </c>
      <c r="D644" t="str">
        <f>_xlfn.TEXTBEFORE(Tabla5[[#This Row],[archivo]],"/")</f>
        <v>lovg</v>
      </c>
    </row>
    <row r="645" spans="1:4" x14ac:dyDescent="0.3">
      <c r="A645" t="s">
        <v>3411</v>
      </c>
      <c r="B645" t="s">
        <v>205</v>
      </c>
      <c r="C645" t="s">
        <v>205</v>
      </c>
      <c r="D645" t="str">
        <f>_xlfn.TEXTBEFORE(Tabla5[[#This Row],[archivo]],"/")</f>
        <v>lovg</v>
      </c>
    </row>
    <row r="646" spans="1:4" x14ac:dyDescent="0.3">
      <c r="A646" t="s">
        <v>3412</v>
      </c>
      <c r="B646" t="s">
        <v>152</v>
      </c>
      <c r="C646" t="s">
        <v>152</v>
      </c>
      <c r="D646" t="str">
        <f>_xlfn.TEXTBEFORE(Tabla5[[#This Row],[archivo]],"/")</f>
        <v>lovg</v>
      </c>
    </row>
    <row r="647" spans="1:4" x14ac:dyDescent="0.3">
      <c r="A647" t="s">
        <v>3413</v>
      </c>
      <c r="B647" t="s">
        <v>206</v>
      </c>
      <c r="C647" t="s">
        <v>206</v>
      </c>
      <c r="D647" t="str">
        <f>_xlfn.TEXTBEFORE(Tabla5[[#This Row],[archivo]],"/")</f>
        <v>lovg</v>
      </c>
    </row>
    <row r="648" spans="1:4" x14ac:dyDescent="0.3">
      <c r="A648" t="s">
        <v>3414</v>
      </c>
      <c r="B648" t="s">
        <v>211</v>
      </c>
      <c r="C648" t="s">
        <v>211</v>
      </c>
      <c r="D648" t="str">
        <f>_xlfn.TEXTBEFORE(Tabla5[[#This Row],[archivo]],"/")</f>
        <v>lovg</v>
      </c>
    </row>
    <row r="649" spans="1:4" x14ac:dyDescent="0.3">
      <c r="A649" t="s">
        <v>3415</v>
      </c>
      <c r="B649" t="s">
        <v>153</v>
      </c>
      <c r="C649" t="s">
        <v>153</v>
      </c>
      <c r="D649" t="str">
        <f>_xlfn.TEXTBEFORE(Tabla5[[#This Row],[archivo]],"/")</f>
        <v>lovg</v>
      </c>
    </row>
    <row r="650" spans="1:4" x14ac:dyDescent="0.3">
      <c r="A650" t="s">
        <v>3416</v>
      </c>
      <c r="B650" t="s">
        <v>207</v>
      </c>
      <c r="C650" t="s">
        <v>207</v>
      </c>
      <c r="D650" t="str">
        <f>_xlfn.TEXTBEFORE(Tabla5[[#This Row],[archivo]],"/")</f>
        <v>lovg</v>
      </c>
    </row>
    <row r="651" spans="1:4" x14ac:dyDescent="0.3">
      <c r="A651" t="s">
        <v>3417</v>
      </c>
      <c r="B651" t="s">
        <v>154</v>
      </c>
      <c r="C651" t="s">
        <v>154</v>
      </c>
      <c r="D651" t="str">
        <f>_xlfn.TEXTBEFORE(Tabla5[[#This Row],[archivo]],"/")</f>
        <v>lovg</v>
      </c>
    </row>
    <row r="652" spans="1:4" x14ac:dyDescent="0.3">
      <c r="A652" t="s">
        <v>3418</v>
      </c>
      <c r="B652" t="s">
        <v>155</v>
      </c>
      <c r="C652" t="s">
        <v>155</v>
      </c>
      <c r="D652" t="str">
        <f>_xlfn.TEXTBEFORE(Tabla5[[#This Row],[archivo]],"/")</f>
        <v>lovg</v>
      </c>
    </row>
    <row r="653" spans="1:4" x14ac:dyDescent="0.3">
      <c r="A653" t="s">
        <v>3419</v>
      </c>
      <c r="B653" t="s">
        <v>1475</v>
      </c>
      <c r="C653" t="s">
        <v>1475</v>
      </c>
      <c r="D653" t="str">
        <f>_xlfn.TEXTBEFORE(Tabla5[[#This Row],[archivo]],"/")</f>
        <v>lovg</v>
      </c>
    </row>
    <row r="654" spans="1:4" x14ac:dyDescent="0.3">
      <c r="A654" t="s">
        <v>3420</v>
      </c>
      <c r="B654" t="s">
        <v>208</v>
      </c>
      <c r="C654" t="s">
        <v>208</v>
      </c>
      <c r="D654" t="str">
        <f>_xlfn.TEXTBEFORE(Tabla5[[#This Row],[archivo]],"/")</f>
        <v>lovg</v>
      </c>
    </row>
    <row r="655" spans="1:4" x14ac:dyDescent="0.3">
      <c r="A655" t="s">
        <v>3421</v>
      </c>
      <c r="B655" t="s">
        <v>157</v>
      </c>
      <c r="C655" t="s">
        <v>157</v>
      </c>
      <c r="D655" t="str">
        <f>_xlfn.TEXTBEFORE(Tabla5[[#This Row],[archivo]],"/")</f>
        <v>lovg</v>
      </c>
    </row>
    <row r="656" spans="1:4" x14ac:dyDescent="0.3">
      <c r="A656" t="s">
        <v>3422</v>
      </c>
      <c r="B656" t="s">
        <v>158</v>
      </c>
      <c r="C656" t="s">
        <v>158</v>
      </c>
      <c r="D656" t="str">
        <f>_xlfn.TEXTBEFORE(Tabla5[[#This Row],[archivo]],"/")</f>
        <v>lovg</v>
      </c>
    </row>
    <row r="657" spans="1:4" x14ac:dyDescent="0.3">
      <c r="A657" t="s">
        <v>3423</v>
      </c>
      <c r="B657" t="s">
        <v>209</v>
      </c>
      <c r="C657" t="s">
        <v>209</v>
      </c>
      <c r="D657" t="str">
        <f>_xlfn.TEXTBEFORE(Tabla5[[#This Row],[archivo]],"/")</f>
        <v>lovg</v>
      </c>
    </row>
    <row r="658" spans="1:4" x14ac:dyDescent="0.3">
      <c r="A658" t="s">
        <v>3424</v>
      </c>
      <c r="B658" t="s">
        <v>210</v>
      </c>
      <c r="C658" t="s">
        <v>210</v>
      </c>
      <c r="D658" t="str">
        <f>_xlfn.TEXTBEFORE(Tabla5[[#This Row],[archivo]],"/")</f>
        <v>lovg</v>
      </c>
    </row>
    <row r="659" spans="1:4" x14ac:dyDescent="0.3">
      <c r="A659" t="s">
        <v>3425</v>
      </c>
      <c r="B659" t="s">
        <v>159</v>
      </c>
      <c r="C659" t="s">
        <v>159</v>
      </c>
      <c r="D659" t="str">
        <f>_xlfn.TEXTBEFORE(Tabla5[[#This Row],[archivo]],"/")</f>
        <v>lovg</v>
      </c>
    </row>
    <row r="660" spans="1:4" x14ac:dyDescent="0.3">
      <c r="A660" t="s">
        <v>3426</v>
      </c>
      <c r="B660" t="s">
        <v>2703</v>
      </c>
      <c r="C660" t="s">
        <v>2703</v>
      </c>
      <c r="D660" t="str">
        <f>_xlfn.TEXTBEFORE(Tabla5[[#This Row],[archivo]],"/")</f>
        <v>lovg</v>
      </c>
    </row>
    <row r="661" spans="1:4" x14ac:dyDescent="0.3">
      <c r="A661" t="s">
        <v>3427</v>
      </c>
      <c r="B661" t="s">
        <v>160</v>
      </c>
      <c r="C661" t="s">
        <v>160</v>
      </c>
      <c r="D661" t="str">
        <f>_xlfn.TEXTBEFORE(Tabla5[[#This Row],[archivo]],"/")</f>
        <v>lovg</v>
      </c>
    </row>
    <row r="662" spans="1:4" x14ac:dyDescent="0.3">
      <c r="A662" t="s">
        <v>3428</v>
      </c>
      <c r="B662" t="s">
        <v>212</v>
      </c>
      <c r="C662" t="s">
        <v>212</v>
      </c>
      <c r="D662" t="str">
        <f>_xlfn.TEXTBEFORE(Tabla5[[#This Row],[archivo]],"/")</f>
        <v>lovg</v>
      </c>
    </row>
    <row r="663" spans="1:4" x14ac:dyDescent="0.3">
      <c r="A663" t="s">
        <v>3429</v>
      </c>
      <c r="B663" t="s">
        <v>161</v>
      </c>
      <c r="C663" t="s">
        <v>161</v>
      </c>
      <c r="D663" t="str">
        <f>_xlfn.TEXTBEFORE(Tabla5[[#This Row],[archivo]],"/")</f>
        <v>lovg</v>
      </c>
    </row>
    <row r="664" spans="1:4" x14ac:dyDescent="0.3">
      <c r="A664" t="s">
        <v>3430</v>
      </c>
      <c r="B664" t="s">
        <v>213</v>
      </c>
      <c r="C664" t="s">
        <v>213</v>
      </c>
      <c r="D664" t="str">
        <f>_xlfn.TEXTBEFORE(Tabla5[[#This Row],[archivo]],"/")</f>
        <v>lovg</v>
      </c>
    </row>
    <row r="665" spans="1:4" x14ac:dyDescent="0.3">
      <c r="A665" t="s">
        <v>3431</v>
      </c>
      <c r="B665" t="s">
        <v>1241</v>
      </c>
      <c r="C665" t="s">
        <v>1241</v>
      </c>
      <c r="D665" t="str">
        <f>_xlfn.TEXTBEFORE(Tabla5[[#This Row],[archivo]],"/")</f>
        <v>lovg</v>
      </c>
    </row>
    <row r="666" spans="1:4" x14ac:dyDescent="0.3">
      <c r="A666" t="s">
        <v>3432</v>
      </c>
      <c r="B666" t="s">
        <v>1474</v>
      </c>
      <c r="C666" t="s">
        <v>1474</v>
      </c>
      <c r="D666" t="str">
        <f>_xlfn.TEXTBEFORE(Tabla5[[#This Row],[archivo]],"/")</f>
        <v>lovg</v>
      </c>
    </row>
    <row r="667" spans="1:4" x14ac:dyDescent="0.3">
      <c r="A667" t="s">
        <v>3433</v>
      </c>
      <c r="B667" t="s">
        <v>1242</v>
      </c>
      <c r="C667" t="s">
        <v>1242</v>
      </c>
      <c r="D667" t="str">
        <f>_xlfn.TEXTBEFORE(Tabla5[[#This Row],[archivo]],"/")</f>
        <v>lovg</v>
      </c>
    </row>
    <row r="668" spans="1:4" x14ac:dyDescent="0.3">
      <c r="A668" t="s">
        <v>3434</v>
      </c>
      <c r="B668" t="s">
        <v>216</v>
      </c>
      <c r="C668" t="s">
        <v>216</v>
      </c>
      <c r="D668" t="str">
        <f>_xlfn.TEXTBEFORE(Tabla5[[#This Row],[archivo]],"/")</f>
        <v>lovg</v>
      </c>
    </row>
    <row r="669" spans="1:4" x14ac:dyDescent="0.3">
      <c r="A669" t="s">
        <v>3435</v>
      </c>
      <c r="B669" t="s">
        <v>214</v>
      </c>
      <c r="C669" t="s">
        <v>214</v>
      </c>
      <c r="D669" t="str">
        <f>_xlfn.TEXTBEFORE(Tabla5[[#This Row],[archivo]],"/")</f>
        <v>lovg</v>
      </c>
    </row>
    <row r="670" spans="1:4" x14ac:dyDescent="0.3">
      <c r="A670" t="s">
        <v>3436</v>
      </c>
      <c r="B670" t="s">
        <v>215</v>
      </c>
      <c r="C670" t="s">
        <v>215</v>
      </c>
      <c r="D670" t="str">
        <f>_xlfn.TEXTBEFORE(Tabla5[[#This Row],[archivo]],"/")</f>
        <v>lovg</v>
      </c>
    </row>
    <row r="671" spans="1:4" x14ac:dyDescent="0.3">
      <c r="A671" t="s">
        <v>3437</v>
      </c>
      <c r="B671" t="s">
        <v>162</v>
      </c>
      <c r="C671" t="s">
        <v>162</v>
      </c>
      <c r="D671" t="str">
        <f>_xlfn.TEXTBEFORE(Tabla5[[#This Row],[archivo]],"/")</f>
        <v>lovg</v>
      </c>
    </row>
    <row r="672" spans="1:4" x14ac:dyDescent="0.3">
      <c r="A672" t="s">
        <v>3438</v>
      </c>
      <c r="B672" t="s">
        <v>163</v>
      </c>
      <c r="C672" t="s">
        <v>163</v>
      </c>
      <c r="D672" t="str">
        <f>_xlfn.TEXTBEFORE(Tabla5[[#This Row],[archivo]],"/")</f>
        <v>lovg</v>
      </c>
    </row>
    <row r="673" spans="1:4" x14ac:dyDescent="0.3">
      <c r="A673" t="s">
        <v>3439</v>
      </c>
      <c r="B673" t="s">
        <v>164</v>
      </c>
      <c r="C673" t="s">
        <v>164</v>
      </c>
      <c r="D673" t="str">
        <f>_xlfn.TEXTBEFORE(Tabla5[[#This Row],[archivo]],"/")</f>
        <v>lovg</v>
      </c>
    </row>
    <row r="674" spans="1:4" x14ac:dyDescent="0.3">
      <c r="A674" t="s">
        <v>3440</v>
      </c>
      <c r="B674" t="s">
        <v>165</v>
      </c>
      <c r="C674" t="s">
        <v>165</v>
      </c>
      <c r="D674" t="str">
        <f>_xlfn.TEXTBEFORE(Tabla5[[#This Row],[archivo]],"/")</f>
        <v>lovg</v>
      </c>
    </row>
    <row r="675" spans="1:4" x14ac:dyDescent="0.3">
      <c r="A675" t="s">
        <v>3441</v>
      </c>
      <c r="B675" t="s">
        <v>217</v>
      </c>
      <c r="C675" t="s">
        <v>217</v>
      </c>
      <c r="D675" t="str">
        <f>_xlfn.TEXTBEFORE(Tabla5[[#This Row],[archivo]],"/")</f>
        <v>lovg</v>
      </c>
    </row>
    <row r="676" spans="1:4" x14ac:dyDescent="0.3">
      <c r="A676" t="s">
        <v>3442</v>
      </c>
      <c r="B676" t="s">
        <v>166</v>
      </c>
      <c r="C676" t="s">
        <v>166</v>
      </c>
      <c r="D676" t="str">
        <f>_xlfn.TEXTBEFORE(Tabla5[[#This Row],[archivo]],"/")</f>
        <v>lovg</v>
      </c>
    </row>
    <row r="677" spans="1:4" x14ac:dyDescent="0.3">
      <c r="A677" t="s">
        <v>3443</v>
      </c>
      <c r="B677" t="s">
        <v>167</v>
      </c>
      <c r="C677" t="s">
        <v>167</v>
      </c>
      <c r="D677" t="str">
        <f>_xlfn.TEXTBEFORE(Tabla5[[#This Row],[archivo]],"/")</f>
        <v>lovg</v>
      </c>
    </row>
    <row r="678" spans="1:4" x14ac:dyDescent="0.3">
      <c r="A678" t="s">
        <v>3444</v>
      </c>
      <c r="B678" t="s">
        <v>218</v>
      </c>
      <c r="C678" t="s">
        <v>218</v>
      </c>
      <c r="D678" t="str">
        <f>_xlfn.TEXTBEFORE(Tabla5[[#This Row],[archivo]],"/")</f>
        <v>lovg</v>
      </c>
    </row>
    <row r="679" spans="1:4" x14ac:dyDescent="0.3">
      <c r="A679" t="s">
        <v>3445</v>
      </c>
      <c r="B679" t="s">
        <v>219</v>
      </c>
      <c r="C679" t="s">
        <v>219</v>
      </c>
      <c r="D679" t="str">
        <f>_xlfn.TEXTBEFORE(Tabla5[[#This Row],[archivo]],"/")</f>
        <v>lovg</v>
      </c>
    </row>
    <row r="680" spans="1:4" x14ac:dyDescent="0.3">
      <c r="A680" t="s">
        <v>3446</v>
      </c>
      <c r="B680" t="s">
        <v>220</v>
      </c>
      <c r="C680" t="s">
        <v>220</v>
      </c>
      <c r="D680" t="str">
        <f>_xlfn.TEXTBEFORE(Tabla5[[#This Row],[archivo]],"/")</f>
        <v>lovg</v>
      </c>
    </row>
    <row r="681" spans="1:4" x14ac:dyDescent="0.3">
      <c r="A681" t="s">
        <v>3447</v>
      </c>
      <c r="B681" t="s">
        <v>221</v>
      </c>
      <c r="C681" t="s">
        <v>221</v>
      </c>
      <c r="D681" t="str">
        <f>_xlfn.TEXTBEFORE(Tabla5[[#This Row],[archivo]],"/")</f>
        <v>lovg</v>
      </c>
    </row>
    <row r="682" spans="1:4" x14ac:dyDescent="0.3">
      <c r="A682" t="s">
        <v>3448</v>
      </c>
      <c r="B682" t="s">
        <v>168</v>
      </c>
      <c r="C682" t="s">
        <v>168</v>
      </c>
      <c r="D682" t="str">
        <f>_xlfn.TEXTBEFORE(Tabla5[[#This Row],[archivo]],"/")</f>
        <v>lovg</v>
      </c>
    </row>
    <row r="683" spans="1:4" x14ac:dyDescent="0.3">
      <c r="A683" t="s">
        <v>3449</v>
      </c>
      <c r="B683" t="s">
        <v>169</v>
      </c>
      <c r="C683" t="s">
        <v>169</v>
      </c>
      <c r="D683" t="str">
        <f>_xlfn.TEXTBEFORE(Tabla5[[#This Row],[archivo]],"/")</f>
        <v>lovg</v>
      </c>
    </row>
    <row r="684" spans="1:4" x14ac:dyDescent="0.3">
      <c r="A684" t="s">
        <v>3450</v>
      </c>
      <c r="B684" t="s">
        <v>170</v>
      </c>
      <c r="C684" t="s">
        <v>170</v>
      </c>
      <c r="D684" t="str">
        <f>_xlfn.TEXTBEFORE(Tabla5[[#This Row],[archivo]],"/")</f>
        <v>lovg</v>
      </c>
    </row>
    <row r="685" spans="1:4" x14ac:dyDescent="0.3">
      <c r="A685" t="s">
        <v>3451</v>
      </c>
      <c r="B685" t="s">
        <v>171</v>
      </c>
      <c r="C685" t="s">
        <v>171</v>
      </c>
      <c r="D685" t="str">
        <f>_xlfn.TEXTBEFORE(Tabla5[[#This Row],[archivo]],"/")</f>
        <v>lovg</v>
      </c>
    </row>
    <row r="686" spans="1:4" x14ac:dyDescent="0.3">
      <c r="A686" t="s">
        <v>3452</v>
      </c>
      <c r="B686" t="s">
        <v>172</v>
      </c>
      <c r="C686" t="s">
        <v>172</v>
      </c>
      <c r="D686" t="str">
        <f>_xlfn.TEXTBEFORE(Tabla5[[#This Row],[archivo]],"/")</f>
        <v>lovg</v>
      </c>
    </row>
    <row r="687" spans="1:4" x14ac:dyDescent="0.3">
      <c r="A687" t="s">
        <v>3453</v>
      </c>
      <c r="B687" t="s">
        <v>222</v>
      </c>
      <c r="C687" t="s">
        <v>222</v>
      </c>
      <c r="D687" t="str">
        <f>_xlfn.TEXTBEFORE(Tabla5[[#This Row],[archivo]],"/")</f>
        <v>lovg</v>
      </c>
    </row>
    <row r="688" spans="1:4" x14ac:dyDescent="0.3">
      <c r="A688" t="s">
        <v>3454</v>
      </c>
      <c r="B688" t="s">
        <v>173</v>
      </c>
      <c r="C688" t="s">
        <v>173</v>
      </c>
      <c r="D688" t="str">
        <f>_xlfn.TEXTBEFORE(Tabla5[[#This Row],[archivo]],"/")</f>
        <v>lovg</v>
      </c>
    </row>
    <row r="689" spans="1:4" x14ac:dyDescent="0.3">
      <c r="A689" t="s">
        <v>3455</v>
      </c>
      <c r="B689" t="s">
        <v>174</v>
      </c>
      <c r="C689" t="s">
        <v>174</v>
      </c>
      <c r="D689" t="str">
        <f>_xlfn.TEXTBEFORE(Tabla5[[#This Row],[archivo]],"/")</f>
        <v>lovg</v>
      </c>
    </row>
    <row r="690" spans="1:4" x14ac:dyDescent="0.3">
      <c r="A690" t="s">
        <v>3456</v>
      </c>
      <c r="B690" t="s">
        <v>175</v>
      </c>
      <c r="C690" t="s">
        <v>175</v>
      </c>
      <c r="D690" t="str">
        <f>_xlfn.TEXTBEFORE(Tabla5[[#This Row],[archivo]],"/")</f>
        <v>lovg</v>
      </c>
    </row>
    <row r="691" spans="1:4" x14ac:dyDescent="0.3">
      <c r="A691" t="s">
        <v>3457</v>
      </c>
      <c r="B691" t="s">
        <v>223</v>
      </c>
      <c r="C691" t="s">
        <v>223</v>
      </c>
      <c r="D691" t="str">
        <f>_xlfn.TEXTBEFORE(Tabla5[[#This Row],[archivo]],"/")</f>
        <v>lovg</v>
      </c>
    </row>
    <row r="692" spans="1:4" x14ac:dyDescent="0.3">
      <c r="A692" t="s">
        <v>3458</v>
      </c>
      <c r="B692" t="s">
        <v>1240</v>
      </c>
      <c r="C692" t="s">
        <v>1240</v>
      </c>
      <c r="D692" t="str">
        <f>_xlfn.TEXTBEFORE(Tabla5[[#This Row],[archivo]],"/")</f>
        <v>lovg</v>
      </c>
    </row>
    <row r="693" spans="1:4" x14ac:dyDescent="0.3">
      <c r="A693" t="s">
        <v>3459</v>
      </c>
      <c r="B693" t="s">
        <v>224</v>
      </c>
      <c r="C693" t="s">
        <v>224</v>
      </c>
      <c r="D693" t="str">
        <f>_xlfn.TEXTBEFORE(Tabla5[[#This Row],[archivo]],"/")</f>
        <v>lovg</v>
      </c>
    </row>
    <row r="694" spans="1:4" x14ac:dyDescent="0.3">
      <c r="A694" t="s">
        <v>3460</v>
      </c>
      <c r="B694" t="s">
        <v>176</v>
      </c>
      <c r="C694" t="s">
        <v>176</v>
      </c>
      <c r="D694" t="str">
        <f>_xlfn.TEXTBEFORE(Tabla5[[#This Row],[archivo]],"/")</f>
        <v>lovg</v>
      </c>
    </row>
    <row r="695" spans="1:4" x14ac:dyDescent="0.3">
      <c r="A695" t="s">
        <v>3461</v>
      </c>
      <c r="B695" t="s">
        <v>177</v>
      </c>
      <c r="C695" t="s">
        <v>177</v>
      </c>
      <c r="D695" t="str">
        <f>_xlfn.TEXTBEFORE(Tabla5[[#This Row],[archivo]],"/")</f>
        <v>lovg</v>
      </c>
    </row>
    <row r="696" spans="1:4" x14ac:dyDescent="0.3">
      <c r="A696" t="s">
        <v>3462</v>
      </c>
      <c r="B696" t="s">
        <v>178</v>
      </c>
      <c r="C696" t="s">
        <v>178</v>
      </c>
      <c r="D696" t="str">
        <f>_xlfn.TEXTBEFORE(Tabla5[[#This Row],[archivo]],"/")</f>
        <v>lovg</v>
      </c>
    </row>
    <row r="697" spans="1:4" x14ac:dyDescent="0.3">
      <c r="A697" t="s">
        <v>3463</v>
      </c>
      <c r="B697" t="s">
        <v>225</v>
      </c>
      <c r="C697" t="s">
        <v>225</v>
      </c>
      <c r="D697" t="str">
        <f>_xlfn.TEXTBEFORE(Tabla5[[#This Row],[archivo]],"/")</f>
        <v>lovg</v>
      </c>
    </row>
    <row r="698" spans="1:4" x14ac:dyDescent="0.3">
      <c r="A698" t="s">
        <v>3464</v>
      </c>
      <c r="B698" t="s">
        <v>226</v>
      </c>
      <c r="C698" t="s">
        <v>226</v>
      </c>
      <c r="D698" t="str">
        <f>_xlfn.TEXTBEFORE(Tabla5[[#This Row],[archivo]],"/")</f>
        <v>lovg</v>
      </c>
    </row>
    <row r="699" spans="1:4" x14ac:dyDescent="0.3">
      <c r="A699" t="s">
        <v>3465</v>
      </c>
      <c r="B699" t="s">
        <v>179</v>
      </c>
      <c r="C699" t="s">
        <v>179</v>
      </c>
      <c r="D699" t="str">
        <f>_xlfn.TEXTBEFORE(Tabla5[[#This Row],[archivo]],"/")</f>
        <v>lovg</v>
      </c>
    </row>
    <row r="700" spans="1:4" x14ac:dyDescent="0.3">
      <c r="A700" t="s">
        <v>3466</v>
      </c>
      <c r="B700" t="s">
        <v>180</v>
      </c>
      <c r="C700" t="s">
        <v>180</v>
      </c>
      <c r="D700" t="str">
        <f>_xlfn.TEXTBEFORE(Tabla5[[#This Row],[archivo]],"/")</f>
        <v>lovg</v>
      </c>
    </row>
    <row r="701" spans="1:4" x14ac:dyDescent="0.3">
      <c r="A701" t="s">
        <v>3467</v>
      </c>
      <c r="B701" t="s">
        <v>115</v>
      </c>
      <c r="C701" t="s">
        <v>115</v>
      </c>
      <c r="D701" t="str">
        <f>_xlfn.TEXTBEFORE(Tabla5[[#This Row],[archivo]],"/")</f>
        <v>lovg</v>
      </c>
    </row>
    <row r="702" spans="1:4" x14ac:dyDescent="0.3">
      <c r="A702" t="s">
        <v>3468</v>
      </c>
      <c r="B702" t="s">
        <v>229</v>
      </c>
      <c r="C702" t="s">
        <v>229</v>
      </c>
      <c r="D702" t="str">
        <f>_xlfn.TEXTBEFORE(Tabla5[[#This Row],[archivo]],"/")</f>
        <v>lovg</v>
      </c>
    </row>
    <row r="703" spans="1:4" x14ac:dyDescent="0.3">
      <c r="A703" t="s">
        <v>3469</v>
      </c>
      <c r="B703" t="s">
        <v>227</v>
      </c>
      <c r="C703" t="s">
        <v>227</v>
      </c>
      <c r="D703" t="str">
        <f>_xlfn.TEXTBEFORE(Tabla5[[#This Row],[archivo]],"/")</f>
        <v>lovg</v>
      </c>
    </row>
    <row r="704" spans="1:4" x14ac:dyDescent="0.3">
      <c r="A704" t="s">
        <v>3470</v>
      </c>
      <c r="B704" t="s">
        <v>228</v>
      </c>
      <c r="C704" t="s">
        <v>228</v>
      </c>
      <c r="D704" t="str">
        <f>_xlfn.TEXTBEFORE(Tabla5[[#This Row],[archivo]],"/")</f>
        <v>lovg</v>
      </c>
    </row>
    <row r="705" spans="1:4" x14ac:dyDescent="0.3">
      <c r="A705" t="s">
        <v>3471</v>
      </c>
      <c r="B705" t="s">
        <v>181</v>
      </c>
      <c r="C705" t="s">
        <v>181</v>
      </c>
      <c r="D705" t="str">
        <f>_xlfn.TEXTBEFORE(Tabla5[[#This Row],[archivo]],"/")</f>
        <v>lovg</v>
      </c>
    </row>
    <row r="706" spans="1:4" x14ac:dyDescent="0.3">
      <c r="A706" t="s">
        <v>3472</v>
      </c>
      <c r="B706" t="s">
        <v>230</v>
      </c>
      <c r="C706" t="s">
        <v>230</v>
      </c>
      <c r="D706" t="str">
        <f>_xlfn.TEXTBEFORE(Tabla5[[#This Row],[archivo]],"/")</f>
        <v>lovg</v>
      </c>
    </row>
    <row r="707" spans="1:4" x14ac:dyDescent="0.3">
      <c r="A707" t="s">
        <v>3473</v>
      </c>
      <c r="B707" t="s">
        <v>183</v>
      </c>
      <c r="C707" t="s">
        <v>183</v>
      </c>
      <c r="D707" t="str">
        <f>_xlfn.TEXTBEFORE(Tabla5[[#This Row],[archivo]],"/")</f>
        <v>lovg</v>
      </c>
    </row>
    <row r="708" spans="1:4" x14ac:dyDescent="0.3">
      <c r="A708" t="s">
        <v>3474</v>
      </c>
      <c r="B708" t="s">
        <v>184</v>
      </c>
      <c r="C708" t="s">
        <v>184</v>
      </c>
      <c r="D708" t="str">
        <f>_xlfn.TEXTBEFORE(Tabla5[[#This Row],[archivo]],"/")</f>
        <v>lovg</v>
      </c>
    </row>
    <row r="709" spans="1:4" x14ac:dyDescent="0.3">
      <c r="A709" t="s">
        <v>3475</v>
      </c>
      <c r="B709" t="s">
        <v>185</v>
      </c>
      <c r="C709" t="s">
        <v>185</v>
      </c>
      <c r="D709" t="str">
        <f>_xlfn.TEXTBEFORE(Tabla5[[#This Row],[archivo]],"/")</f>
        <v>lovg</v>
      </c>
    </row>
    <row r="710" spans="1:4" x14ac:dyDescent="0.3">
      <c r="A710" t="s">
        <v>3476</v>
      </c>
      <c r="B710" t="s">
        <v>182</v>
      </c>
      <c r="C710" t="s">
        <v>182</v>
      </c>
      <c r="D710" t="str">
        <f>_xlfn.TEXTBEFORE(Tabla5[[#This Row],[archivo]],"/")</f>
        <v>lovg</v>
      </c>
    </row>
    <row r="711" spans="1:4" x14ac:dyDescent="0.3">
      <c r="A711" t="s">
        <v>3477</v>
      </c>
      <c r="B711" t="s">
        <v>1828</v>
      </c>
      <c r="C711" t="s">
        <v>1828</v>
      </c>
      <c r="D711" t="str">
        <f>_xlfn.TEXTBEFORE(Tabla5[[#This Row],[archivo]],"/")</f>
        <v>marea</v>
      </c>
    </row>
    <row r="712" spans="1:4" x14ac:dyDescent="0.3">
      <c r="A712" t="s">
        <v>3478</v>
      </c>
      <c r="B712" t="s">
        <v>1811</v>
      </c>
      <c r="C712" t="s">
        <v>1811</v>
      </c>
      <c r="D712" t="str">
        <f>_xlfn.TEXTBEFORE(Tabla5[[#This Row],[archivo]],"/")</f>
        <v>marea</v>
      </c>
    </row>
    <row r="713" spans="1:4" x14ac:dyDescent="0.3">
      <c r="A713" t="s">
        <v>3479</v>
      </c>
      <c r="B713" t="s">
        <v>1825</v>
      </c>
      <c r="C713" t="s">
        <v>1825</v>
      </c>
      <c r="D713" t="str">
        <f>_xlfn.TEXTBEFORE(Tabla5[[#This Row],[archivo]],"/")</f>
        <v>marea</v>
      </c>
    </row>
    <row r="714" spans="1:4" x14ac:dyDescent="0.3">
      <c r="A714" t="s">
        <v>3480</v>
      </c>
      <c r="B714" t="s">
        <v>1798</v>
      </c>
      <c r="C714" t="s">
        <v>1798</v>
      </c>
      <c r="D714" t="str">
        <f>_xlfn.TEXTBEFORE(Tabla5[[#This Row],[archivo]],"/")</f>
        <v>marea</v>
      </c>
    </row>
    <row r="715" spans="1:4" x14ac:dyDescent="0.3">
      <c r="A715" t="s">
        <v>3481</v>
      </c>
      <c r="B715" t="s">
        <v>1844</v>
      </c>
      <c r="C715" t="s">
        <v>1844</v>
      </c>
      <c r="D715" t="str">
        <f>_xlfn.TEXTBEFORE(Tabla5[[#This Row],[archivo]],"/")</f>
        <v>marea</v>
      </c>
    </row>
    <row r="716" spans="1:4" x14ac:dyDescent="0.3">
      <c r="A716" t="s">
        <v>3482</v>
      </c>
      <c r="B716" t="s">
        <v>1796</v>
      </c>
      <c r="C716" t="s">
        <v>1796</v>
      </c>
      <c r="D716" t="str">
        <f>_xlfn.TEXTBEFORE(Tabla5[[#This Row],[archivo]],"/")</f>
        <v>marea</v>
      </c>
    </row>
    <row r="717" spans="1:4" x14ac:dyDescent="0.3">
      <c r="A717" t="s">
        <v>3483</v>
      </c>
      <c r="B717" t="s">
        <v>1838</v>
      </c>
      <c r="C717" t="s">
        <v>1838</v>
      </c>
      <c r="D717" t="str">
        <f>_xlfn.TEXTBEFORE(Tabla5[[#This Row],[archivo]],"/")</f>
        <v>marea</v>
      </c>
    </row>
    <row r="718" spans="1:4" x14ac:dyDescent="0.3">
      <c r="A718" t="s">
        <v>3484</v>
      </c>
      <c r="B718" t="s">
        <v>2412</v>
      </c>
      <c r="C718" t="s">
        <v>2412</v>
      </c>
      <c r="D718" t="str">
        <f>_xlfn.TEXTBEFORE(Tabla5[[#This Row],[archivo]],"/")</f>
        <v>marea</v>
      </c>
    </row>
    <row r="719" spans="1:4" x14ac:dyDescent="0.3">
      <c r="A719" t="s">
        <v>3485</v>
      </c>
      <c r="B719" t="s">
        <v>1842</v>
      </c>
      <c r="C719" t="s">
        <v>1842</v>
      </c>
      <c r="D719" t="str">
        <f>_xlfn.TEXTBEFORE(Tabla5[[#This Row],[archivo]],"/")</f>
        <v>marea</v>
      </c>
    </row>
    <row r="720" spans="1:4" x14ac:dyDescent="0.3">
      <c r="A720" t="s">
        <v>3486</v>
      </c>
      <c r="B720" t="s">
        <v>1801</v>
      </c>
      <c r="C720" t="s">
        <v>1801</v>
      </c>
      <c r="D720" t="str">
        <f>_xlfn.TEXTBEFORE(Tabla5[[#This Row],[archivo]],"/")</f>
        <v>marea</v>
      </c>
    </row>
    <row r="721" spans="1:4" x14ac:dyDescent="0.3">
      <c r="A721" t="s">
        <v>3487</v>
      </c>
      <c r="B721" t="s">
        <v>2406</v>
      </c>
      <c r="C721" t="s">
        <v>2406</v>
      </c>
      <c r="D721" t="str">
        <f>_xlfn.TEXTBEFORE(Tabla5[[#This Row],[archivo]],"/")</f>
        <v>marea</v>
      </c>
    </row>
    <row r="722" spans="1:4" x14ac:dyDescent="0.3">
      <c r="A722" t="s">
        <v>3488</v>
      </c>
      <c r="B722" t="s">
        <v>2704</v>
      </c>
      <c r="C722" t="s">
        <v>2704</v>
      </c>
      <c r="D722" t="str">
        <f>_xlfn.TEXTBEFORE(Tabla5[[#This Row],[archivo]],"/")</f>
        <v>marea</v>
      </c>
    </row>
    <row r="723" spans="1:4" x14ac:dyDescent="0.3">
      <c r="A723" t="s">
        <v>3489</v>
      </c>
      <c r="B723" t="s">
        <v>1824</v>
      </c>
      <c r="C723" t="s">
        <v>1824</v>
      </c>
      <c r="D723" t="str">
        <f>_xlfn.TEXTBEFORE(Tabla5[[#This Row],[archivo]],"/")</f>
        <v>marea</v>
      </c>
    </row>
    <row r="724" spans="1:4" x14ac:dyDescent="0.3">
      <c r="A724" t="s">
        <v>3490</v>
      </c>
      <c r="B724" t="s">
        <v>1814</v>
      </c>
      <c r="C724" t="s">
        <v>1814</v>
      </c>
      <c r="D724" t="str">
        <f>_xlfn.TEXTBEFORE(Tabla5[[#This Row],[archivo]],"/")</f>
        <v>marea</v>
      </c>
    </row>
    <row r="725" spans="1:4" x14ac:dyDescent="0.3">
      <c r="A725" t="s">
        <v>3491</v>
      </c>
      <c r="B725" t="s">
        <v>1823</v>
      </c>
      <c r="C725" t="s">
        <v>1823</v>
      </c>
      <c r="D725" t="str">
        <f>_xlfn.TEXTBEFORE(Tabla5[[#This Row],[archivo]],"/")</f>
        <v>marea</v>
      </c>
    </row>
    <row r="726" spans="1:4" x14ac:dyDescent="0.3">
      <c r="A726" t="s">
        <v>3492</v>
      </c>
      <c r="B726" t="s">
        <v>1795</v>
      </c>
      <c r="C726" t="s">
        <v>1795</v>
      </c>
      <c r="D726" t="str">
        <f>_xlfn.TEXTBEFORE(Tabla5[[#This Row],[archivo]],"/")</f>
        <v>marea</v>
      </c>
    </row>
    <row r="727" spans="1:4" x14ac:dyDescent="0.3">
      <c r="A727" t="s">
        <v>3493</v>
      </c>
      <c r="B727" t="s">
        <v>1819</v>
      </c>
      <c r="C727" t="s">
        <v>1819</v>
      </c>
      <c r="D727" t="str">
        <f>_xlfn.TEXTBEFORE(Tabla5[[#This Row],[archivo]],"/")</f>
        <v>marea</v>
      </c>
    </row>
    <row r="728" spans="1:4" x14ac:dyDescent="0.3">
      <c r="A728" t="s">
        <v>3494</v>
      </c>
      <c r="B728" t="s">
        <v>2110</v>
      </c>
      <c r="C728" t="s">
        <v>2110</v>
      </c>
      <c r="D728" t="str">
        <f>_xlfn.TEXTBEFORE(Tabla5[[#This Row],[archivo]],"/")</f>
        <v>marea</v>
      </c>
    </row>
    <row r="729" spans="1:4" x14ac:dyDescent="0.3">
      <c r="A729" t="s">
        <v>3495</v>
      </c>
      <c r="B729" t="s">
        <v>1799</v>
      </c>
      <c r="C729" t="s">
        <v>1799</v>
      </c>
      <c r="D729" t="str">
        <f>_xlfn.TEXTBEFORE(Tabla5[[#This Row],[archivo]],"/")</f>
        <v>marea</v>
      </c>
    </row>
    <row r="730" spans="1:4" x14ac:dyDescent="0.3">
      <c r="A730" t="s">
        <v>3496</v>
      </c>
      <c r="B730" t="s">
        <v>2705</v>
      </c>
      <c r="C730" t="s">
        <v>2705</v>
      </c>
      <c r="D730" t="str">
        <f>_xlfn.TEXTBEFORE(Tabla5[[#This Row],[archivo]],"/")</f>
        <v>marea</v>
      </c>
    </row>
    <row r="731" spans="1:4" x14ac:dyDescent="0.3">
      <c r="A731" t="s">
        <v>3497</v>
      </c>
      <c r="B731" t="s">
        <v>2706</v>
      </c>
      <c r="C731" t="s">
        <v>2706</v>
      </c>
      <c r="D731" t="str">
        <f>_xlfn.TEXTBEFORE(Tabla5[[#This Row],[archivo]],"/")</f>
        <v>marea</v>
      </c>
    </row>
    <row r="732" spans="1:4" x14ac:dyDescent="0.3">
      <c r="A732" t="s">
        <v>3498</v>
      </c>
      <c r="B732" t="s">
        <v>1841</v>
      </c>
      <c r="C732" t="s">
        <v>1841</v>
      </c>
      <c r="D732" t="str">
        <f>_xlfn.TEXTBEFORE(Tabla5[[#This Row],[archivo]],"/")</f>
        <v>marea</v>
      </c>
    </row>
    <row r="733" spans="1:4" x14ac:dyDescent="0.3">
      <c r="A733" t="s">
        <v>3499</v>
      </c>
      <c r="B733" t="s">
        <v>1821</v>
      </c>
      <c r="C733" t="s">
        <v>1821</v>
      </c>
      <c r="D733" t="str">
        <f>_xlfn.TEXTBEFORE(Tabla5[[#This Row],[archivo]],"/")</f>
        <v>marea</v>
      </c>
    </row>
    <row r="734" spans="1:4" x14ac:dyDescent="0.3">
      <c r="A734" t="s">
        <v>3500</v>
      </c>
      <c r="B734" t="s">
        <v>2404</v>
      </c>
      <c r="C734" t="s">
        <v>2404</v>
      </c>
      <c r="D734" t="str">
        <f>_xlfn.TEXTBEFORE(Tabla5[[#This Row],[archivo]],"/")</f>
        <v>marea</v>
      </c>
    </row>
    <row r="735" spans="1:4" x14ac:dyDescent="0.3">
      <c r="A735" t="s">
        <v>3501</v>
      </c>
      <c r="B735" t="s">
        <v>1800</v>
      </c>
      <c r="C735" t="s">
        <v>1800</v>
      </c>
      <c r="D735" t="str">
        <f>_xlfn.TEXTBEFORE(Tabla5[[#This Row],[archivo]],"/")</f>
        <v>marea</v>
      </c>
    </row>
    <row r="736" spans="1:4" x14ac:dyDescent="0.3">
      <c r="A736" t="s">
        <v>3502</v>
      </c>
      <c r="B736" t="s">
        <v>1806</v>
      </c>
      <c r="C736" t="s">
        <v>1806</v>
      </c>
      <c r="D736" t="str">
        <f>_xlfn.TEXTBEFORE(Tabla5[[#This Row],[archivo]],"/")</f>
        <v>marea</v>
      </c>
    </row>
    <row r="737" spans="1:4" x14ac:dyDescent="0.3">
      <c r="A737" t="s">
        <v>3503</v>
      </c>
      <c r="B737" t="s">
        <v>1854</v>
      </c>
      <c r="C737" t="s">
        <v>1854</v>
      </c>
      <c r="D737" t="str">
        <f>_xlfn.TEXTBEFORE(Tabla5[[#This Row],[archivo]],"/")</f>
        <v>marea</v>
      </c>
    </row>
    <row r="738" spans="1:4" x14ac:dyDescent="0.3">
      <c r="A738" t="s">
        <v>3504</v>
      </c>
      <c r="B738" t="s">
        <v>1830</v>
      </c>
      <c r="C738" t="s">
        <v>1830</v>
      </c>
      <c r="D738" t="str">
        <f>_xlfn.TEXTBEFORE(Tabla5[[#This Row],[archivo]],"/")</f>
        <v>marea</v>
      </c>
    </row>
    <row r="739" spans="1:4" x14ac:dyDescent="0.3">
      <c r="A739" t="s">
        <v>3505</v>
      </c>
      <c r="B739" t="s">
        <v>1827</v>
      </c>
      <c r="C739" t="s">
        <v>1827</v>
      </c>
      <c r="D739" t="str">
        <f>_xlfn.TEXTBEFORE(Tabla5[[#This Row],[archivo]],"/")</f>
        <v>marea</v>
      </c>
    </row>
    <row r="740" spans="1:4" x14ac:dyDescent="0.3">
      <c r="A740" t="s">
        <v>3506</v>
      </c>
      <c r="B740" t="s">
        <v>1848</v>
      </c>
      <c r="C740" t="s">
        <v>1848</v>
      </c>
      <c r="D740" t="str">
        <f>_xlfn.TEXTBEFORE(Tabla5[[#This Row],[archivo]],"/")</f>
        <v>marea</v>
      </c>
    </row>
    <row r="741" spans="1:4" x14ac:dyDescent="0.3">
      <c r="A741" t="s">
        <v>3507</v>
      </c>
      <c r="B741" t="s">
        <v>1809</v>
      </c>
      <c r="C741" t="s">
        <v>1809</v>
      </c>
      <c r="D741" t="str">
        <f>_xlfn.TEXTBEFORE(Tabla5[[#This Row],[archivo]],"/")</f>
        <v>marea</v>
      </c>
    </row>
    <row r="742" spans="1:4" x14ac:dyDescent="0.3">
      <c r="A742" t="s">
        <v>3508</v>
      </c>
      <c r="B742" t="s">
        <v>2407</v>
      </c>
      <c r="C742" t="s">
        <v>2407</v>
      </c>
      <c r="D742" t="str">
        <f>_xlfn.TEXTBEFORE(Tabla5[[#This Row],[archivo]],"/")</f>
        <v>marea</v>
      </c>
    </row>
    <row r="743" spans="1:4" x14ac:dyDescent="0.3">
      <c r="A743" t="s">
        <v>3509</v>
      </c>
      <c r="B743" t="s">
        <v>2707</v>
      </c>
      <c r="C743" t="s">
        <v>2707</v>
      </c>
      <c r="D743" t="str">
        <f>_xlfn.TEXTBEFORE(Tabla5[[#This Row],[archivo]],"/")</f>
        <v>marea</v>
      </c>
    </row>
    <row r="744" spans="1:4" x14ac:dyDescent="0.3">
      <c r="A744" t="s">
        <v>3510</v>
      </c>
      <c r="B744" t="s">
        <v>2708</v>
      </c>
      <c r="C744" t="s">
        <v>2708</v>
      </c>
      <c r="D744" t="str">
        <f>_xlfn.TEXTBEFORE(Tabla5[[#This Row],[archivo]],"/")</f>
        <v>marea</v>
      </c>
    </row>
    <row r="745" spans="1:4" x14ac:dyDescent="0.3">
      <c r="A745" t="s">
        <v>3511</v>
      </c>
      <c r="B745" t="s">
        <v>1797</v>
      </c>
      <c r="C745" t="s">
        <v>1797</v>
      </c>
      <c r="D745" t="str">
        <f>_xlfn.TEXTBEFORE(Tabla5[[#This Row],[archivo]],"/")</f>
        <v>marea</v>
      </c>
    </row>
    <row r="746" spans="1:4" x14ac:dyDescent="0.3">
      <c r="A746" t="s">
        <v>3512</v>
      </c>
      <c r="B746" t="s">
        <v>1851</v>
      </c>
      <c r="C746" t="s">
        <v>1851</v>
      </c>
      <c r="D746" t="str">
        <f>_xlfn.TEXTBEFORE(Tabla5[[#This Row],[archivo]],"/")</f>
        <v>marea</v>
      </c>
    </row>
    <row r="747" spans="1:4" x14ac:dyDescent="0.3">
      <c r="A747" t="s">
        <v>3513</v>
      </c>
      <c r="B747" t="s">
        <v>1845</v>
      </c>
      <c r="C747" t="s">
        <v>1845</v>
      </c>
      <c r="D747" t="str">
        <f>_xlfn.TEXTBEFORE(Tabla5[[#This Row],[archivo]],"/")</f>
        <v>marea</v>
      </c>
    </row>
    <row r="748" spans="1:4" x14ac:dyDescent="0.3">
      <c r="A748" t="s">
        <v>3514</v>
      </c>
      <c r="B748" t="s">
        <v>1820</v>
      </c>
      <c r="C748" t="s">
        <v>1820</v>
      </c>
      <c r="D748" t="str">
        <f>_xlfn.TEXTBEFORE(Tabla5[[#This Row],[archivo]],"/")</f>
        <v>marea</v>
      </c>
    </row>
    <row r="749" spans="1:4" x14ac:dyDescent="0.3">
      <c r="A749" t="s">
        <v>3515</v>
      </c>
      <c r="B749" t="s">
        <v>2405</v>
      </c>
      <c r="C749" t="s">
        <v>2405</v>
      </c>
      <c r="D749" t="str">
        <f>_xlfn.TEXTBEFORE(Tabla5[[#This Row],[archivo]],"/")</f>
        <v>marea</v>
      </c>
    </row>
    <row r="750" spans="1:4" x14ac:dyDescent="0.3">
      <c r="A750" t="s">
        <v>3516</v>
      </c>
      <c r="B750" t="s">
        <v>1836</v>
      </c>
      <c r="C750" t="s">
        <v>1836</v>
      </c>
      <c r="D750" t="str">
        <f>_xlfn.TEXTBEFORE(Tabla5[[#This Row],[archivo]],"/")</f>
        <v>marea</v>
      </c>
    </row>
    <row r="751" spans="1:4" x14ac:dyDescent="0.3">
      <c r="A751" t="s">
        <v>3517</v>
      </c>
      <c r="B751" t="s">
        <v>1807</v>
      </c>
      <c r="C751" t="s">
        <v>1807</v>
      </c>
      <c r="D751" t="str">
        <f>_xlfn.TEXTBEFORE(Tabla5[[#This Row],[archivo]],"/")</f>
        <v>marea</v>
      </c>
    </row>
    <row r="752" spans="1:4" x14ac:dyDescent="0.3">
      <c r="A752" t="s">
        <v>3518</v>
      </c>
      <c r="B752" t="s">
        <v>1839</v>
      </c>
      <c r="C752" t="s">
        <v>1839</v>
      </c>
      <c r="D752" t="str">
        <f>_xlfn.TEXTBEFORE(Tabla5[[#This Row],[archivo]],"/")</f>
        <v>marea</v>
      </c>
    </row>
    <row r="753" spans="1:4" x14ac:dyDescent="0.3">
      <c r="A753" t="s">
        <v>3519</v>
      </c>
      <c r="B753" t="s">
        <v>1852</v>
      </c>
      <c r="C753" t="s">
        <v>1852</v>
      </c>
      <c r="D753" t="str">
        <f>_xlfn.TEXTBEFORE(Tabla5[[#This Row],[archivo]],"/")</f>
        <v>marea</v>
      </c>
    </row>
    <row r="754" spans="1:4" x14ac:dyDescent="0.3">
      <c r="A754" t="s">
        <v>3520</v>
      </c>
      <c r="B754" t="s">
        <v>1816</v>
      </c>
      <c r="C754" t="s">
        <v>1816</v>
      </c>
      <c r="D754" t="str">
        <f>_xlfn.TEXTBEFORE(Tabla5[[#This Row],[archivo]],"/")</f>
        <v>marea</v>
      </c>
    </row>
    <row r="755" spans="1:4" x14ac:dyDescent="0.3">
      <c r="A755" t="s">
        <v>3521</v>
      </c>
      <c r="B755" t="s">
        <v>1794</v>
      </c>
      <c r="C755" t="s">
        <v>1794</v>
      </c>
      <c r="D755" t="str">
        <f>_xlfn.TEXTBEFORE(Tabla5[[#This Row],[archivo]],"/")</f>
        <v>marea</v>
      </c>
    </row>
    <row r="756" spans="1:4" x14ac:dyDescent="0.3">
      <c r="A756" t="s">
        <v>3522</v>
      </c>
      <c r="B756" t="s">
        <v>1837</v>
      </c>
      <c r="C756" t="s">
        <v>1837</v>
      </c>
      <c r="D756" t="str">
        <f>_xlfn.TEXTBEFORE(Tabla5[[#This Row],[archivo]],"/")</f>
        <v>marea</v>
      </c>
    </row>
    <row r="757" spans="1:4" x14ac:dyDescent="0.3">
      <c r="A757" t="s">
        <v>3523</v>
      </c>
      <c r="B757" t="s">
        <v>2408</v>
      </c>
      <c r="C757" t="s">
        <v>2408</v>
      </c>
      <c r="D757" t="str">
        <f>_xlfn.TEXTBEFORE(Tabla5[[#This Row],[archivo]],"/")</f>
        <v>marea</v>
      </c>
    </row>
    <row r="758" spans="1:4" x14ac:dyDescent="0.3">
      <c r="A758" t="s">
        <v>3524</v>
      </c>
      <c r="B758" t="s">
        <v>1810</v>
      </c>
      <c r="C758" t="s">
        <v>1810</v>
      </c>
      <c r="D758" t="str">
        <f>_xlfn.TEXTBEFORE(Tabla5[[#This Row],[archivo]],"/")</f>
        <v>marea</v>
      </c>
    </row>
    <row r="759" spans="1:4" x14ac:dyDescent="0.3">
      <c r="A759" t="s">
        <v>3525</v>
      </c>
      <c r="B759" t="s">
        <v>1739</v>
      </c>
      <c r="C759" t="s">
        <v>1739</v>
      </c>
      <c r="D759" t="str">
        <f>_xlfn.TEXTBEFORE(Tabla5[[#This Row],[archivo]],"/")</f>
        <v>marea</v>
      </c>
    </row>
    <row r="760" spans="1:4" x14ac:dyDescent="0.3">
      <c r="A760" t="s">
        <v>3526</v>
      </c>
      <c r="B760" t="s">
        <v>2409</v>
      </c>
      <c r="C760" t="s">
        <v>2409</v>
      </c>
      <c r="D760" t="str">
        <f>_xlfn.TEXTBEFORE(Tabla5[[#This Row],[archivo]],"/")</f>
        <v>marea</v>
      </c>
    </row>
    <row r="761" spans="1:4" x14ac:dyDescent="0.3">
      <c r="A761" t="s">
        <v>3527</v>
      </c>
      <c r="B761" t="s">
        <v>1835</v>
      </c>
      <c r="C761" t="s">
        <v>1835</v>
      </c>
      <c r="D761" t="str">
        <f>_xlfn.TEXTBEFORE(Tabla5[[#This Row],[archivo]],"/")</f>
        <v>marea</v>
      </c>
    </row>
    <row r="762" spans="1:4" x14ac:dyDescent="0.3">
      <c r="A762" t="s">
        <v>3528</v>
      </c>
      <c r="B762" t="s">
        <v>1812</v>
      </c>
      <c r="C762" t="s">
        <v>1812</v>
      </c>
      <c r="D762" t="str">
        <f>_xlfn.TEXTBEFORE(Tabla5[[#This Row],[archivo]],"/")</f>
        <v>marea</v>
      </c>
    </row>
    <row r="763" spans="1:4" x14ac:dyDescent="0.3">
      <c r="A763" t="s">
        <v>3529</v>
      </c>
      <c r="B763" t="s">
        <v>1831</v>
      </c>
      <c r="C763" t="s">
        <v>1831</v>
      </c>
      <c r="D763" t="str">
        <f>_xlfn.TEXTBEFORE(Tabla5[[#This Row],[archivo]],"/")</f>
        <v>marea</v>
      </c>
    </row>
    <row r="764" spans="1:4" x14ac:dyDescent="0.3">
      <c r="A764" t="s">
        <v>3530</v>
      </c>
      <c r="B764" t="s">
        <v>1832</v>
      </c>
      <c r="C764" t="s">
        <v>1832</v>
      </c>
      <c r="D764" t="str">
        <f>_xlfn.TEXTBEFORE(Tabla5[[#This Row],[archivo]],"/")</f>
        <v>marea</v>
      </c>
    </row>
    <row r="765" spans="1:4" x14ac:dyDescent="0.3">
      <c r="A765" t="s">
        <v>3531</v>
      </c>
      <c r="B765" t="s">
        <v>1803</v>
      </c>
      <c r="C765" t="s">
        <v>1803</v>
      </c>
      <c r="D765" t="str">
        <f>_xlfn.TEXTBEFORE(Tabla5[[#This Row],[archivo]],"/")</f>
        <v>marea</v>
      </c>
    </row>
    <row r="766" spans="1:4" x14ac:dyDescent="0.3">
      <c r="A766" t="s">
        <v>3532</v>
      </c>
      <c r="B766" t="s">
        <v>1850</v>
      </c>
      <c r="C766" t="s">
        <v>1850</v>
      </c>
      <c r="D766" t="str">
        <f>_xlfn.TEXTBEFORE(Tabla5[[#This Row],[archivo]],"/")</f>
        <v>marea</v>
      </c>
    </row>
    <row r="767" spans="1:4" x14ac:dyDescent="0.3">
      <c r="A767" t="s">
        <v>3533</v>
      </c>
      <c r="B767" t="s">
        <v>2709</v>
      </c>
      <c r="C767" t="s">
        <v>2709</v>
      </c>
      <c r="D767" t="str">
        <f>_xlfn.TEXTBEFORE(Tabla5[[#This Row],[archivo]],"/")</f>
        <v>marea</v>
      </c>
    </row>
    <row r="768" spans="1:4" x14ac:dyDescent="0.3">
      <c r="A768" t="s">
        <v>3534</v>
      </c>
      <c r="B768" t="s">
        <v>1791</v>
      </c>
      <c r="C768" t="s">
        <v>1791</v>
      </c>
      <c r="D768" t="str">
        <f>_xlfn.TEXTBEFORE(Tabla5[[#This Row],[archivo]],"/")</f>
        <v>marea</v>
      </c>
    </row>
    <row r="769" spans="1:4" x14ac:dyDescent="0.3">
      <c r="A769" t="s">
        <v>3535</v>
      </c>
      <c r="B769" t="s">
        <v>2410</v>
      </c>
      <c r="C769" t="s">
        <v>2410</v>
      </c>
      <c r="D769" t="str">
        <f>_xlfn.TEXTBEFORE(Tabla5[[#This Row],[archivo]],"/")</f>
        <v>marea</v>
      </c>
    </row>
    <row r="770" spans="1:4" x14ac:dyDescent="0.3">
      <c r="A770" t="s">
        <v>3536</v>
      </c>
      <c r="B770" t="s">
        <v>1853</v>
      </c>
      <c r="C770" t="s">
        <v>1853</v>
      </c>
      <c r="D770" t="str">
        <f>_xlfn.TEXTBEFORE(Tabla5[[#This Row],[archivo]],"/")</f>
        <v>marea</v>
      </c>
    </row>
    <row r="771" spans="1:4" x14ac:dyDescent="0.3">
      <c r="A771" t="s">
        <v>3537</v>
      </c>
      <c r="B771" t="s">
        <v>2710</v>
      </c>
      <c r="C771" t="s">
        <v>2710</v>
      </c>
      <c r="D771" t="str">
        <f>_xlfn.TEXTBEFORE(Tabla5[[#This Row],[archivo]],"/")</f>
        <v>marea</v>
      </c>
    </row>
    <row r="772" spans="1:4" x14ac:dyDescent="0.3">
      <c r="A772" t="s">
        <v>3538</v>
      </c>
      <c r="B772" t="s">
        <v>2413</v>
      </c>
      <c r="C772" t="s">
        <v>2413</v>
      </c>
      <c r="D772" t="str">
        <f>_xlfn.TEXTBEFORE(Tabla5[[#This Row],[archivo]],"/")</f>
        <v>marea</v>
      </c>
    </row>
    <row r="773" spans="1:4" x14ac:dyDescent="0.3">
      <c r="A773" t="s">
        <v>3539</v>
      </c>
      <c r="B773" t="s">
        <v>1855</v>
      </c>
      <c r="C773" t="s">
        <v>1855</v>
      </c>
      <c r="D773" t="str">
        <f>_xlfn.TEXTBEFORE(Tabla5[[#This Row],[archivo]],"/")</f>
        <v>marea</v>
      </c>
    </row>
    <row r="774" spans="1:4" x14ac:dyDescent="0.3">
      <c r="A774" t="s">
        <v>3540</v>
      </c>
      <c r="B774" t="s">
        <v>1815</v>
      </c>
      <c r="C774" t="s">
        <v>1815</v>
      </c>
      <c r="D774" t="str">
        <f>_xlfn.TEXTBEFORE(Tabla5[[#This Row],[archivo]],"/")</f>
        <v>marea</v>
      </c>
    </row>
    <row r="775" spans="1:4" x14ac:dyDescent="0.3">
      <c r="A775" t="s">
        <v>3541</v>
      </c>
      <c r="B775" t="s">
        <v>1856</v>
      </c>
      <c r="C775" t="s">
        <v>1856</v>
      </c>
      <c r="D775" t="str">
        <f>_xlfn.TEXTBEFORE(Tabla5[[#This Row],[archivo]],"/")</f>
        <v>marea</v>
      </c>
    </row>
    <row r="776" spans="1:4" x14ac:dyDescent="0.3">
      <c r="A776" t="s">
        <v>3542</v>
      </c>
      <c r="B776" t="s">
        <v>1847</v>
      </c>
      <c r="C776" t="s">
        <v>1847</v>
      </c>
      <c r="D776" t="str">
        <f>_xlfn.TEXTBEFORE(Tabla5[[#This Row],[archivo]],"/")</f>
        <v>marea</v>
      </c>
    </row>
    <row r="777" spans="1:4" x14ac:dyDescent="0.3">
      <c r="A777" t="s">
        <v>3543</v>
      </c>
      <c r="B777" t="s">
        <v>1833</v>
      </c>
      <c r="C777" t="s">
        <v>1833</v>
      </c>
      <c r="D777" t="str">
        <f>_xlfn.TEXTBEFORE(Tabla5[[#This Row],[archivo]],"/")</f>
        <v>marea</v>
      </c>
    </row>
    <row r="778" spans="1:4" x14ac:dyDescent="0.3">
      <c r="A778" t="s">
        <v>3544</v>
      </c>
      <c r="B778" t="s">
        <v>1846</v>
      </c>
      <c r="C778" t="s">
        <v>1846</v>
      </c>
      <c r="D778" t="str">
        <f>_xlfn.TEXTBEFORE(Tabla5[[#This Row],[archivo]],"/")</f>
        <v>marea</v>
      </c>
    </row>
    <row r="779" spans="1:4" x14ac:dyDescent="0.3">
      <c r="A779" t="s">
        <v>3545</v>
      </c>
      <c r="B779" t="s">
        <v>1829</v>
      </c>
      <c r="C779" t="s">
        <v>1829</v>
      </c>
      <c r="D779" t="str">
        <f>_xlfn.TEXTBEFORE(Tabla5[[#This Row],[archivo]],"/")</f>
        <v>marea</v>
      </c>
    </row>
    <row r="780" spans="1:4" x14ac:dyDescent="0.3">
      <c r="A780" t="s">
        <v>3546</v>
      </c>
      <c r="B780" t="s">
        <v>1802</v>
      </c>
      <c r="C780" t="s">
        <v>1802</v>
      </c>
      <c r="D780" t="str">
        <f>_xlfn.TEXTBEFORE(Tabla5[[#This Row],[archivo]],"/")</f>
        <v>marea</v>
      </c>
    </row>
    <row r="781" spans="1:4" x14ac:dyDescent="0.3">
      <c r="A781" t="s">
        <v>3547</v>
      </c>
      <c r="B781" t="s">
        <v>1793</v>
      </c>
      <c r="C781" t="s">
        <v>1793</v>
      </c>
      <c r="D781" t="str">
        <f>_xlfn.TEXTBEFORE(Tabla5[[#This Row],[archivo]],"/")</f>
        <v>marea</v>
      </c>
    </row>
    <row r="782" spans="1:4" x14ac:dyDescent="0.3">
      <c r="A782" t="s">
        <v>3548</v>
      </c>
      <c r="B782" t="s">
        <v>1826</v>
      </c>
      <c r="C782" t="s">
        <v>1826</v>
      </c>
      <c r="D782" t="str">
        <f>_xlfn.TEXTBEFORE(Tabla5[[#This Row],[archivo]],"/")</f>
        <v>marea</v>
      </c>
    </row>
    <row r="783" spans="1:4" x14ac:dyDescent="0.3">
      <c r="A783" t="s">
        <v>3549</v>
      </c>
      <c r="B783" t="s">
        <v>2711</v>
      </c>
      <c r="C783" t="s">
        <v>2711</v>
      </c>
      <c r="D783" t="str">
        <f>_xlfn.TEXTBEFORE(Tabla5[[#This Row],[archivo]],"/")</f>
        <v>marea</v>
      </c>
    </row>
    <row r="784" spans="1:4" x14ac:dyDescent="0.3">
      <c r="A784" t="s">
        <v>3550</v>
      </c>
      <c r="B784" t="s">
        <v>2411</v>
      </c>
      <c r="C784" t="s">
        <v>2411</v>
      </c>
      <c r="D784" t="str">
        <f>_xlfn.TEXTBEFORE(Tabla5[[#This Row],[archivo]],"/")</f>
        <v>marea</v>
      </c>
    </row>
    <row r="785" spans="1:4" x14ac:dyDescent="0.3">
      <c r="A785" t="s">
        <v>3551</v>
      </c>
      <c r="B785" t="s">
        <v>1804</v>
      </c>
      <c r="C785" t="s">
        <v>1804</v>
      </c>
      <c r="D785" t="str">
        <f>_xlfn.TEXTBEFORE(Tabla5[[#This Row],[archivo]],"/")</f>
        <v>marea</v>
      </c>
    </row>
    <row r="786" spans="1:4" x14ac:dyDescent="0.3">
      <c r="A786" t="s">
        <v>3552</v>
      </c>
      <c r="B786" t="s">
        <v>1840</v>
      </c>
      <c r="C786" t="s">
        <v>1840</v>
      </c>
      <c r="D786" t="str">
        <f>_xlfn.TEXTBEFORE(Tabla5[[#This Row],[archivo]],"/")</f>
        <v>marea</v>
      </c>
    </row>
    <row r="787" spans="1:4" x14ac:dyDescent="0.3">
      <c r="A787" t="s">
        <v>3553</v>
      </c>
      <c r="B787" t="s">
        <v>2403</v>
      </c>
      <c r="C787" t="s">
        <v>2403</v>
      </c>
      <c r="D787" t="str">
        <f>_xlfn.TEXTBEFORE(Tabla5[[#This Row],[archivo]],"/")</f>
        <v>marea</v>
      </c>
    </row>
    <row r="788" spans="1:4" x14ac:dyDescent="0.3">
      <c r="A788" t="s">
        <v>3554</v>
      </c>
      <c r="B788" t="s">
        <v>1790</v>
      </c>
      <c r="C788" t="s">
        <v>1790</v>
      </c>
      <c r="D788" t="str">
        <f>_xlfn.TEXTBEFORE(Tabla5[[#This Row],[archivo]],"/")</f>
        <v>marea</v>
      </c>
    </row>
    <row r="789" spans="1:4" x14ac:dyDescent="0.3">
      <c r="A789" t="s">
        <v>3555</v>
      </c>
      <c r="B789" t="s">
        <v>1849</v>
      </c>
      <c r="C789" t="s">
        <v>1849</v>
      </c>
      <c r="D789" t="str">
        <f>_xlfn.TEXTBEFORE(Tabla5[[#This Row],[archivo]],"/")</f>
        <v>marea</v>
      </c>
    </row>
    <row r="790" spans="1:4" x14ac:dyDescent="0.3">
      <c r="A790" t="s">
        <v>3556</v>
      </c>
      <c r="B790" t="s">
        <v>1813</v>
      </c>
      <c r="C790" t="s">
        <v>1813</v>
      </c>
      <c r="D790" t="str">
        <f>_xlfn.TEXTBEFORE(Tabla5[[#This Row],[archivo]],"/")</f>
        <v>marea</v>
      </c>
    </row>
    <row r="791" spans="1:4" x14ac:dyDescent="0.3">
      <c r="A791" t="s">
        <v>3557</v>
      </c>
      <c r="B791" t="s">
        <v>1818</v>
      </c>
      <c r="C791" t="s">
        <v>1818</v>
      </c>
      <c r="D791" t="str">
        <f>_xlfn.TEXTBEFORE(Tabla5[[#This Row],[archivo]],"/")</f>
        <v>marea</v>
      </c>
    </row>
    <row r="792" spans="1:4" x14ac:dyDescent="0.3">
      <c r="A792" t="s">
        <v>3558</v>
      </c>
      <c r="B792" t="s">
        <v>1789</v>
      </c>
      <c r="C792" t="s">
        <v>1789</v>
      </c>
      <c r="D792" t="str">
        <f>_xlfn.TEXTBEFORE(Tabla5[[#This Row],[archivo]],"/")</f>
        <v>marea</v>
      </c>
    </row>
    <row r="793" spans="1:4" x14ac:dyDescent="0.3">
      <c r="A793" t="s">
        <v>3559</v>
      </c>
      <c r="B793" t="s">
        <v>2712</v>
      </c>
      <c r="C793" t="s">
        <v>2712</v>
      </c>
      <c r="D793" t="str">
        <f>_xlfn.TEXTBEFORE(Tabla5[[#This Row],[archivo]],"/")</f>
        <v>otros</v>
      </c>
    </row>
    <row r="794" spans="1:4" x14ac:dyDescent="0.3">
      <c r="A794" t="s">
        <v>3560</v>
      </c>
      <c r="B794" t="s">
        <v>2713</v>
      </c>
      <c r="C794" t="s">
        <v>2713</v>
      </c>
      <c r="D794" t="str">
        <f>_xlfn.TEXTBEFORE(Tabla5[[#This Row],[archivo]],"/")</f>
        <v>otros</v>
      </c>
    </row>
    <row r="795" spans="1:4" x14ac:dyDescent="0.3">
      <c r="A795" t="s">
        <v>3561</v>
      </c>
      <c r="B795" t="s">
        <v>2714</v>
      </c>
      <c r="C795" t="s">
        <v>2714</v>
      </c>
      <c r="D795" t="str">
        <f>_xlfn.TEXTBEFORE(Tabla5[[#This Row],[archivo]],"/")</f>
        <v>otros</v>
      </c>
    </row>
    <row r="796" spans="1:4" x14ac:dyDescent="0.3">
      <c r="A796" t="s">
        <v>3562</v>
      </c>
      <c r="B796" t="s">
        <v>2715</v>
      </c>
      <c r="C796" t="s">
        <v>2715</v>
      </c>
      <c r="D796" t="str">
        <f>_xlfn.TEXTBEFORE(Tabla5[[#This Row],[archivo]],"/")</f>
        <v>otros</v>
      </c>
    </row>
    <row r="797" spans="1:4" x14ac:dyDescent="0.3">
      <c r="A797" t="s">
        <v>3563</v>
      </c>
      <c r="B797" t="s">
        <v>2716</v>
      </c>
      <c r="C797" t="s">
        <v>2716</v>
      </c>
      <c r="D797" t="str">
        <f>_xlfn.TEXTBEFORE(Tabla5[[#This Row],[archivo]],"/")</f>
        <v>otros</v>
      </c>
    </row>
    <row r="798" spans="1:4" x14ac:dyDescent="0.3">
      <c r="A798" t="s">
        <v>3564</v>
      </c>
      <c r="B798" t="s">
        <v>2717</v>
      </c>
      <c r="C798" t="s">
        <v>2717</v>
      </c>
      <c r="D798" t="str">
        <f>_xlfn.TEXTBEFORE(Tabla5[[#This Row],[archivo]],"/")</f>
        <v>otros</v>
      </c>
    </row>
    <row r="799" spans="1:4" x14ac:dyDescent="0.3">
      <c r="A799" t="s">
        <v>3565</v>
      </c>
      <c r="B799" t="s">
        <v>2718</v>
      </c>
      <c r="C799" t="s">
        <v>2718</v>
      </c>
      <c r="D799" t="str">
        <f>_xlfn.TEXTBEFORE(Tabla5[[#This Row],[archivo]],"/")</f>
        <v>otros</v>
      </c>
    </row>
    <row r="800" spans="1:4" x14ac:dyDescent="0.3">
      <c r="A800" t="s">
        <v>3566</v>
      </c>
      <c r="B800" t="s">
        <v>2719</v>
      </c>
      <c r="C800" t="s">
        <v>2719</v>
      </c>
      <c r="D800" t="str">
        <f>_xlfn.TEXTBEFORE(Tabla5[[#This Row],[archivo]],"/")</f>
        <v>otros</v>
      </c>
    </row>
    <row r="801" spans="1:4" x14ac:dyDescent="0.3">
      <c r="A801" t="s">
        <v>3567</v>
      </c>
      <c r="B801" t="s">
        <v>2720</v>
      </c>
      <c r="C801" t="s">
        <v>2720</v>
      </c>
      <c r="D801" t="str">
        <f>_xlfn.TEXTBEFORE(Tabla5[[#This Row],[archivo]],"/")</f>
        <v>otros</v>
      </c>
    </row>
    <row r="802" spans="1:4" x14ac:dyDescent="0.3">
      <c r="A802" t="s">
        <v>3568</v>
      </c>
      <c r="B802" t="s">
        <v>2721</v>
      </c>
      <c r="C802" t="s">
        <v>2721</v>
      </c>
      <c r="D802" t="str">
        <f>_xlfn.TEXTBEFORE(Tabla5[[#This Row],[archivo]],"/")</f>
        <v>otros</v>
      </c>
    </row>
    <row r="803" spans="1:4" x14ac:dyDescent="0.3">
      <c r="A803" t="s">
        <v>3569</v>
      </c>
      <c r="B803" t="s">
        <v>2722</v>
      </c>
      <c r="C803" t="s">
        <v>2722</v>
      </c>
      <c r="D803" t="str">
        <f>_xlfn.TEXTBEFORE(Tabla5[[#This Row],[archivo]],"/")</f>
        <v>otros</v>
      </c>
    </row>
    <row r="804" spans="1:4" x14ac:dyDescent="0.3">
      <c r="A804" t="s">
        <v>3570</v>
      </c>
      <c r="B804" t="s">
        <v>2723</v>
      </c>
      <c r="C804" t="s">
        <v>2723</v>
      </c>
      <c r="D804" t="str">
        <f>_xlfn.TEXTBEFORE(Tabla5[[#This Row],[archivo]],"/")</f>
        <v>otros</v>
      </c>
    </row>
    <row r="805" spans="1:4" x14ac:dyDescent="0.3">
      <c r="A805" t="s">
        <v>3571</v>
      </c>
      <c r="B805" t="s">
        <v>2724</v>
      </c>
      <c r="C805" t="s">
        <v>2724</v>
      </c>
      <c r="D805" t="str">
        <f>_xlfn.TEXTBEFORE(Tabla5[[#This Row],[archivo]],"/")</f>
        <v>otros</v>
      </c>
    </row>
    <row r="806" spans="1:4" x14ac:dyDescent="0.3">
      <c r="A806" t="s">
        <v>3572</v>
      </c>
      <c r="B806" t="s">
        <v>2725</v>
      </c>
      <c r="C806" t="s">
        <v>2725</v>
      </c>
      <c r="D806" t="str">
        <f>_xlfn.TEXTBEFORE(Tabla5[[#This Row],[archivo]],"/")</f>
        <v>otros</v>
      </c>
    </row>
    <row r="807" spans="1:4" x14ac:dyDescent="0.3">
      <c r="A807" t="s">
        <v>3573</v>
      </c>
      <c r="B807" t="s">
        <v>2726</v>
      </c>
      <c r="C807" t="s">
        <v>2726</v>
      </c>
      <c r="D807" t="str">
        <f>_xlfn.TEXTBEFORE(Tabla5[[#This Row],[archivo]],"/")</f>
        <v>otros</v>
      </c>
    </row>
    <row r="808" spans="1:4" x14ac:dyDescent="0.3">
      <c r="A808" t="s">
        <v>3574</v>
      </c>
      <c r="B808" t="s">
        <v>2727</v>
      </c>
      <c r="C808" t="s">
        <v>2727</v>
      </c>
      <c r="D808" t="str">
        <f>_xlfn.TEXTBEFORE(Tabla5[[#This Row],[archivo]],"/")</f>
        <v>otros</v>
      </c>
    </row>
    <row r="809" spans="1:4" x14ac:dyDescent="0.3">
      <c r="A809" t="s">
        <v>3575</v>
      </c>
      <c r="B809" t="s">
        <v>2728</v>
      </c>
      <c r="C809" t="s">
        <v>2728</v>
      </c>
      <c r="D809" t="str">
        <f>_xlfn.TEXTBEFORE(Tabla5[[#This Row],[archivo]],"/")</f>
        <v>otros</v>
      </c>
    </row>
    <row r="810" spans="1:4" x14ac:dyDescent="0.3">
      <c r="A810" t="s">
        <v>3576</v>
      </c>
      <c r="B810" t="s">
        <v>2729</v>
      </c>
      <c r="C810" t="s">
        <v>2729</v>
      </c>
      <c r="D810" t="str">
        <f>_xlfn.TEXTBEFORE(Tabla5[[#This Row],[archivo]],"/")</f>
        <v>otros</v>
      </c>
    </row>
    <row r="811" spans="1:4" x14ac:dyDescent="0.3">
      <c r="A811" t="s">
        <v>3577</v>
      </c>
      <c r="B811" t="s">
        <v>2730</v>
      </c>
      <c r="C811" t="s">
        <v>2730</v>
      </c>
      <c r="D811" t="str">
        <f>_xlfn.TEXTBEFORE(Tabla5[[#This Row],[archivo]],"/")</f>
        <v>otros</v>
      </c>
    </row>
    <row r="812" spans="1:4" x14ac:dyDescent="0.3">
      <c r="A812" t="s">
        <v>3578</v>
      </c>
      <c r="B812" t="s">
        <v>2731</v>
      </c>
      <c r="C812" t="s">
        <v>2731</v>
      </c>
      <c r="D812" t="str">
        <f>_xlfn.TEXTBEFORE(Tabla5[[#This Row],[archivo]],"/")</f>
        <v>otros</v>
      </c>
    </row>
    <row r="813" spans="1:4" x14ac:dyDescent="0.3">
      <c r="A813" t="s">
        <v>3579</v>
      </c>
      <c r="B813" t="s">
        <v>2732</v>
      </c>
      <c r="C813" t="s">
        <v>2732</v>
      </c>
      <c r="D813" t="str">
        <f>_xlfn.TEXTBEFORE(Tabla5[[#This Row],[archivo]],"/")</f>
        <v>otros</v>
      </c>
    </row>
    <row r="814" spans="1:4" x14ac:dyDescent="0.3">
      <c r="A814" t="s">
        <v>3580</v>
      </c>
      <c r="B814" t="s">
        <v>2733</v>
      </c>
      <c r="C814" t="s">
        <v>2733</v>
      </c>
      <c r="D814" t="str">
        <f>_xlfn.TEXTBEFORE(Tabla5[[#This Row],[archivo]],"/")</f>
        <v>otros</v>
      </c>
    </row>
    <row r="815" spans="1:4" x14ac:dyDescent="0.3">
      <c r="A815" t="s">
        <v>3581</v>
      </c>
      <c r="B815" t="s">
        <v>2734</v>
      </c>
      <c r="C815" t="s">
        <v>2734</v>
      </c>
      <c r="D815" t="str">
        <f>_xlfn.TEXTBEFORE(Tabla5[[#This Row],[archivo]],"/")</f>
        <v>otros</v>
      </c>
    </row>
    <row r="816" spans="1:4" x14ac:dyDescent="0.3">
      <c r="A816" t="s">
        <v>3582</v>
      </c>
      <c r="B816" t="s">
        <v>2735</v>
      </c>
      <c r="C816" t="s">
        <v>2735</v>
      </c>
      <c r="D816" t="str">
        <f>_xlfn.TEXTBEFORE(Tabla5[[#This Row],[archivo]],"/")</f>
        <v>otros</v>
      </c>
    </row>
    <row r="817" spans="1:4" x14ac:dyDescent="0.3">
      <c r="A817" t="s">
        <v>3583</v>
      </c>
      <c r="B817" t="s">
        <v>2736</v>
      </c>
      <c r="C817" t="s">
        <v>2736</v>
      </c>
      <c r="D817" t="str">
        <f>_xlfn.TEXTBEFORE(Tabla5[[#This Row],[archivo]],"/")</f>
        <v>otros</v>
      </c>
    </row>
    <row r="818" spans="1:4" x14ac:dyDescent="0.3">
      <c r="A818" t="s">
        <v>3584</v>
      </c>
      <c r="B818" t="s">
        <v>2737</v>
      </c>
      <c r="C818" t="s">
        <v>2737</v>
      </c>
      <c r="D818" t="str">
        <f>_xlfn.TEXTBEFORE(Tabla5[[#This Row],[archivo]],"/")</f>
        <v>otros</v>
      </c>
    </row>
    <row r="819" spans="1:4" x14ac:dyDescent="0.3">
      <c r="A819" t="s">
        <v>3585</v>
      </c>
      <c r="B819" t="s">
        <v>2738</v>
      </c>
      <c r="C819" t="s">
        <v>2738</v>
      </c>
      <c r="D819" t="str">
        <f>_xlfn.TEXTBEFORE(Tabla5[[#This Row],[archivo]],"/")</f>
        <v>otros</v>
      </c>
    </row>
    <row r="820" spans="1:4" x14ac:dyDescent="0.3">
      <c r="A820" t="s">
        <v>3586</v>
      </c>
      <c r="B820" t="s">
        <v>2739</v>
      </c>
      <c r="C820" t="s">
        <v>2739</v>
      </c>
      <c r="D820" t="str">
        <f>_xlfn.TEXTBEFORE(Tabla5[[#This Row],[archivo]],"/")</f>
        <v>otros</v>
      </c>
    </row>
    <row r="821" spans="1:4" x14ac:dyDescent="0.3">
      <c r="A821" t="s">
        <v>3587</v>
      </c>
      <c r="B821" t="s">
        <v>2740</v>
      </c>
      <c r="C821" t="s">
        <v>2740</v>
      </c>
      <c r="D821" t="str">
        <f>_xlfn.TEXTBEFORE(Tabla5[[#This Row],[archivo]],"/")</f>
        <v>otros</v>
      </c>
    </row>
    <row r="822" spans="1:4" x14ac:dyDescent="0.3">
      <c r="A822" t="s">
        <v>3588</v>
      </c>
      <c r="B822" t="s">
        <v>2741</v>
      </c>
      <c r="C822" t="s">
        <v>2741</v>
      </c>
      <c r="D822" t="str">
        <f>_xlfn.TEXTBEFORE(Tabla5[[#This Row],[archivo]],"/")</f>
        <v>otros</v>
      </c>
    </row>
    <row r="823" spans="1:4" x14ac:dyDescent="0.3">
      <c r="A823" t="s">
        <v>3589</v>
      </c>
      <c r="B823" t="s">
        <v>2742</v>
      </c>
      <c r="C823" t="s">
        <v>2742</v>
      </c>
      <c r="D823" t="str">
        <f>_xlfn.TEXTBEFORE(Tabla5[[#This Row],[archivo]],"/")</f>
        <v>otros</v>
      </c>
    </row>
    <row r="824" spans="1:4" x14ac:dyDescent="0.3">
      <c r="A824" t="s">
        <v>3590</v>
      </c>
      <c r="B824" t="s">
        <v>2432</v>
      </c>
      <c r="C824" t="s">
        <v>2432</v>
      </c>
      <c r="D824" t="str">
        <f>_xlfn.TEXTBEFORE(Tabla5[[#This Row],[archivo]],"/")</f>
        <v>otros</v>
      </c>
    </row>
    <row r="825" spans="1:4" x14ac:dyDescent="0.3">
      <c r="A825" t="s">
        <v>3591</v>
      </c>
      <c r="B825" t="s">
        <v>2743</v>
      </c>
      <c r="C825" t="s">
        <v>2743</v>
      </c>
      <c r="D825" t="str">
        <f>_xlfn.TEXTBEFORE(Tabla5[[#This Row],[archivo]],"/")</f>
        <v>otros</v>
      </c>
    </row>
    <row r="826" spans="1:4" x14ac:dyDescent="0.3">
      <c r="A826" t="s">
        <v>3592</v>
      </c>
      <c r="B826" t="s">
        <v>2744</v>
      </c>
      <c r="C826" t="s">
        <v>2744</v>
      </c>
      <c r="D826" t="str">
        <f>_xlfn.TEXTBEFORE(Tabla5[[#This Row],[archivo]],"/")</f>
        <v>otros</v>
      </c>
    </row>
    <row r="827" spans="1:4" x14ac:dyDescent="0.3">
      <c r="A827" t="s">
        <v>3593</v>
      </c>
      <c r="B827" t="s">
        <v>2745</v>
      </c>
      <c r="C827" t="s">
        <v>2745</v>
      </c>
      <c r="D827" t="str">
        <f>_xlfn.TEXTBEFORE(Tabla5[[#This Row],[archivo]],"/")</f>
        <v>otros</v>
      </c>
    </row>
    <row r="828" spans="1:4" x14ac:dyDescent="0.3">
      <c r="A828" t="s">
        <v>3594</v>
      </c>
      <c r="B828" t="s">
        <v>2746</v>
      </c>
      <c r="C828" t="s">
        <v>2746</v>
      </c>
      <c r="D828" t="str">
        <f>_xlfn.TEXTBEFORE(Tabla5[[#This Row],[archivo]],"/")</f>
        <v>otros</v>
      </c>
    </row>
    <row r="829" spans="1:4" x14ac:dyDescent="0.3">
      <c r="A829" t="s">
        <v>3595</v>
      </c>
      <c r="B829" t="s">
        <v>2747</v>
      </c>
      <c r="C829" t="s">
        <v>2747</v>
      </c>
      <c r="D829" t="str">
        <f>_xlfn.TEXTBEFORE(Tabla5[[#This Row],[archivo]],"/")</f>
        <v>otros</v>
      </c>
    </row>
    <row r="830" spans="1:4" x14ac:dyDescent="0.3">
      <c r="A830" t="s">
        <v>3596</v>
      </c>
      <c r="B830" t="s">
        <v>2748</v>
      </c>
      <c r="C830" t="s">
        <v>2748</v>
      </c>
      <c r="D830" t="str">
        <f>_xlfn.TEXTBEFORE(Tabla5[[#This Row],[archivo]],"/")</f>
        <v>otros</v>
      </c>
    </row>
    <row r="831" spans="1:4" x14ac:dyDescent="0.3">
      <c r="A831" t="s">
        <v>3597</v>
      </c>
      <c r="B831" t="s">
        <v>2749</v>
      </c>
      <c r="C831" t="s">
        <v>2749</v>
      </c>
      <c r="D831" t="str">
        <f>_xlfn.TEXTBEFORE(Tabla5[[#This Row],[archivo]],"/")</f>
        <v>otros</v>
      </c>
    </row>
    <row r="832" spans="1:4" x14ac:dyDescent="0.3">
      <c r="A832" t="s">
        <v>3598</v>
      </c>
      <c r="B832" t="s">
        <v>2750</v>
      </c>
      <c r="C832" t="s">
        <v>2750</v>
      </c>
      <c r="D832" t="str">
        <f>_xlfn.TEXTBEFORE(Tabla5[[#This Row],[archivo]],"/")</f>
        <v>otros</v>
      </c>
    </row>
    <row r="833" spans="1:4" x14ac:dyDescent="0.3">
      <c r="A833" t="s">
        <v>3599</v>
      </c>
      <c r="B833" t="s">
        <v>1294</v>
      </c>
      <c r="C833" t="s">
        <v>1294</v>
      </c>
      <c r="D833" t="str">
        <f>_xlfn.TEXTBEFORE(Tabla5[[#This Row],[archivo]],"/")</f>
        <v>pereza</v>
      </c>
    </row>
    <row r="834" spans="1:4" x14ac:dyDescent="0.3">
      <c r="A834" t="s">
        <v>3600</v>
      </c>
      <c r="B834" t="s">
        <v>1553</v>
      </c>
      <c r="C834" t="s">
        <v>1553</v>
      </c>
      <c r="D834" t="str">
        <f>_xlfn.TEXTBEFORE(Tabla5[[#This Row],[archivo]],"/")</f>
        <v>pereza</v>
      </c>
    </row>
    <row r="835" spans="1:4" x14ac:dyDescent="0.3">
      <c r="A835" t="s">
        <v>3601</v>
      </c>
      <c r="B835" t="s">
        <v>1263</v>
      </c>
      <c r="C835" t="s">
        <v>1263</v>
      </c>
      <c r="D835" t="str">
        <f>_xlfn.TEXTBEFORE(Tabla5[[#This Row],[archivo]],"/")</f>
        <v>pereza</v>
      </c>
    </row>
    <row r="836" spans="1:4" x14ac:dyDescent="0.3">
      <c r="A836" t="s">
        <v>3602</v>
      </c>
      <c r="B836" t="s">
        <v>828</v>
      </c>
      <c r="C836" t="s">
        <v>828</v>
      </c>
      <c r="D836" t="str">
        <f>_xlfn.TEXTBEFORE(Tabla5[[#This Row],[archivo]],"/")</f>
        <v>pereza</v>
      </c>
    </row>
    <row r="837" spans="1:4" x14ac:dyDescent="0.3">
      <c r="A837" t="s">
        <v>3603</v>
      </c>
      <c r="B837" t="s">
        <v>2751</v>
      </c>
      <c r="C837" t="s">
        <v>2751</v>
      </c>
      <c r="D837" t="str">
        <f>_xlfn.TEXTBEFORE(Tabla5[[#This Row],[archivo]],"/")</f>
        <v>pereza</v>
      </c>
    </row>
    <row r="838" spans="1:4" x14ac:dyDescent="0.3">
      <c r="A838" t="s">
        <v>3604</v>
      </c>
      <c r="B838" t="s">
        <v>1277</v>
      </c>
      <c r="C838" t="s">
        <v>1277</v>
      </c>
      <c r="D838" t="str">
        <f>_xlfn.TEXTBEFORE(Tabla5[[#This Row],[archivo]],"/")</f>
        <v>pereza</v>
      </c>
    </row>
    <row r="839" spans="1:4" x14ac:dyDescent="0.3">
      <c r="A839" t="s">
        <v>3605</v>
      </c>
      <c r="B839" t="s">
        <v>2752</v>
      </c>
      <c r="C839" t="s">
        <v>2752</v>
      </c>
      <c r="D839" t="str">
        <f>_xlfn.TEXTBEFORE(Tabla5[[#This Row],[archivo]],"/")</f>
        <v>pereza</v>
      </c>
    </row>
    <row r="840" spans="1:4" x14ac:dyDescent="0.3">
      <c r="A840" t="s">
        <v>3606</v>
      </c>
      <c r="B840" t="s">
        <v>2753</v>
      </c>
      <c r="C840" t="s">
        <v>2753</v>
      </c>
      <c r="D840" t="str">
        <f>_xlfn.TEXTBEFORE(Tabla5[[#This Row],[archivo]],"/")</f>
        <v>pereza</v>
      </c>
    </row>
    <row r="841" spans="1:4" x14ac:dyDescent="0.3">
      <c r="A841" t="s">
        <v>3607</v>
      </c>
      <c r="B841" t="s">
        <v>1297</v>
      </c>
      <c r="C841" t="s">
        <v>1297</v>
      </c>
      <c r="D841" t="str">
        <f>_xlfn.TEXTBEFORE(Tabla5[[#This Row],[archivo]],"/")</f>
        <v>pereza</v>
      </c>
    </row>
    <row r="842" spans="1:4" x14ac:dyDescent="0.3">
      <c r="A842" t="s">
        <v>3608</v>
      </c>
      <c r="B842" t="s">
        <v>1286</v>
      </c>
      <c r="C842" t="s">
        <v>1286</v>
      </c>
      <c r="D842" t="str">
        <f>_xlfn.TEXTBEFORE(Tabla5[[#This Row],[archivo]],"/")</f>
        <v>pereza</v>
      </c>
    </row>
    <row r="843" spans="1:4" x14ac:dyDescent="0.3">
      <c r="A843" t="s">
        <v>3609</v>
      </c>
      <c r="B843" t="s">
        <v>1556</v>
      </c>
      <c r="C843" t="s">
        <v>1556</v>
      </c>
      <c r="D843" t="str">
        <f>_xlfn.TEXTBEFORE(Tabla5[[#This Row],[archivo]],"/")</f>
        <v>pereza</v>
      </c>
    </row>
    <row r="844" spans="1:4" x14ac:dyDescent="0.3">
      <c r="A844" t="s">
        <v>3610</v>
      </c>
      <c r="B844" t="s">
        <v>1271</v>
      </c>
      <c r="C844" t="s">
        <v>1271</v>
      </c>
      <c r="D844" t="str">
        <f>_xlfn.TEXTBEFORE(Tabla5[[#This Row],[archivo]],"/")</f>
        <v>pereza</v>
      </c>
    </row>
    <row r="845" spans="1:4" x14ac:dyDescent="0.3">
      <c r="A845" t="s">
        <v>3611</v>
      </c>
      <c r="B845" t="s">
        <v>1298</v>
      </c>
      <c r="C845" t="s">
        <v>1298</v>
      </c>
      <c r="D845" t="str">
        <f>_xlfn.TEXTBEFORE(Tabla5[[#This Row],[archivo]],"/")</f>
        <v>pereza</v>
      </c>
    </row>
    <row r="846" spans="1:4" x14ac:dyDescent="0.3">
      <c r="A846" t="s">
        <v>3612</v>
      </c>
      <c r="B846" t="s">
        <v>1269</v>
      </c>
      <c r="C846" t="s">
        <v>1269</v>
      </c>
      <c r="D846" t="str">
        <f>_xlfn.TEXTBEFORE(Tabla5[[#This Row],[archivo]],"/")</f>
        <v>pereza</v>
      </c>
    </row>
    <row r="847" spans="1:4" x14ac:dyDescent="0.3">
      <c r="A847" t="s">
        <v>3613</v>
      </c>
      <c r="B847" t="s">
        <v>1557</v>
      </c>
      <c r="C847" t="s">
        <v>1557</v>
      </c>
      <c r="D847" t="str">
        <f>_xlfn.TEXTBEFORE(Tabla5[[#This Row],[archivo]],"/")</f>
        <v>pereza</v>
      </c>
    </row>
    <row r="848" spans="1:4" x14ac:dyDescent="0.3">
      <c r="A848" t="s">
        <v>3614</v>
      </c>
      <c r="B848" t="s">
        <v>1558</v>
      </c>
      <c r="C848" t="s">
        <v>1558</v>
      </c>
      <c r="D848" t="str">
        <f>_xlfn.TEXTBEFORE(Tabla5[[#This Row],[archivo]],"/")</f>
        <v>pereza</v>
      </c>
    </row>
    <row r="849" spans="1:4" x14ac:dyDescent="0.3">
      <c r="A849" t="s">
        <v>3615</v>
      </c>
      <c r="B849" t="s">
        <v>1559</v>
      </c>
      <c r="C849" t="s">
        <v>1559</v>
      </c>
      <c r="D849" t="str">
        <f>_xlfn.TEXTBEFORE(Tabla5[[#This Row],[archivo]],"/")</f>
        <v>pereza</v>
      </c>
    </row>
    <row r="850" spans="1:4" x14ac:dyDescent="0.3">
      <c r="A850" t="s">
        <v>3616</v>
      </c>
      <c r="B850" t="s">
        <v>1257</v>
      </c>
      <c r="C850" t="s">
        <v>1257</v>
      </c>
      <c r="D850" t="str">
        <f>_xlfn.TEXTBEFORE(Tabla5[[#This Row],[archivo]],"/")</f>
        <v>pereza</v>
      </c>
    </row>
    <row r="851" spans="1:4" x14ac:dyDescent="0.3">
      <c r="A851" t="s">
        <v>3617</v>
      </c>
      <c r="B851" t="s">
        <v>1281</v>
      </c>
      <c r="C851" t="s">
        <v>1281</v>
      </c>
      <c r="D851" t="str">
        <f>_xlfn.TEXTBEFORE(Tabla5[[#This Row],[archivo]],"/")</f>
        <v>pereza</v>
      </c>
    </row>
    <row r="852" spans="1:4" x14ac:dyDescent="0.3">
      <c r="A852" t="s">
        <v>3618</v>
      </c>
      <c r="B852" t="s">
        <v>1285</v>
      </c>
      <c r="C852" t="s">
        <v>1285</v>
      </c>
      <c r="D852" t="str">
        <f>_xlfn.TEXTBEFORE(Tabla5[[#This Row],[archivo]],"/")</f>
        <v>pereza</v>
      </c>
    </row>
    <row r="853" spans="1:4" x14ac:dyDescent="0.3">
      <c r="A853" t="s">
        <v>3619</v>
      </c>
      <c r="B853" t="s">
        <v>1288</v>
      </c>
      <c r="C853" t="s">
        <v>1288</v>
      </c>
      <c r="D853" t="str">
        <f>_xlfn.TEXTBEFORE(Tabla5[[#This Row],[archivo]],"/")</f>
        <v>pereza</v>
      </c>
    </row>
    <row r="854" spans="1:4" x14ac:dyDescent="0.3">
      <c r="A854" t="s">
        <v>3620</v>
      </c>
      <c r="B854" t="s">
        <v>2754</v>
      </c>
      <c r="C854" t="s">
        <v>2754</v>
      </c>
      <c r="D854" t="str">
        <f>_xlfn.TEXTBEFORE(Tabla5[[#This Row],[archivo]],"/")</f>
        <v>pereza</v>
      </c>
    </row>
    <row r="855" spans="1:4" x14ac:dyDescent="0.3">
      <c r="A855" t="s">
        <v>3621</v>
      </c>
      <c r="B855" t="s">
        <v>1303</v>
      </c>
      <c r="C855" t="s">
        <v>1303</v>
      </c>
      <c r="D855" t="str">
        <f>_xlfn.TEXTBEFORE(Tabla5[[#This Row],[archivo]],"/")</f>
        <v>pereza</v>
      </c>
    </row>
    <row r="856" spans="1:4" x14ac:dyDescent="0.3">
      <c r="A856" t="s">
        <v>3622</v>
      </c>
      <c r="B856" t="s">
        <v>2755</v>
      </c>
      <c r="C856" t="s">
        <v>2755</v>
      </c>
      <c r="D856" t="str">
        <f>_xlfn.TEXTBEFORE(Tabla5[[#This Row],[archivo]],"/")</f>
        <v>pereza</v>
      </c>
    </row>
    <row r="857" spans="1:4" x14ac:dyDescent="0.3">
      <c r="A857" t="s">
        <v>3623</v>
      </c>
      <c r="B857" t="s">
        <v>1259</v>
      </c>
      <c r="C857" t="s">
        <v>1259</v>
      </c>
      <c r="D857" t="str">
        <f>_xlfn.TEXTBEFORE(Tabla5[[#This Row],[archivo]],"/")</f>
        <v>pereza</v>
      </c>
    </row>
    <row r="858" spans="1:4" x14ac:dyDescent="0.3">
      <c r="A858" t="s">
        <v>3624</v>
      </c>
      <c r="B858" t="s">
        <v>1560</v>
      </c>
      <c r="C858" t="s">
        <v>1560</v>
      </c>
      <c r="D858" t="str">
        <f>_xlfn.TEXTBEFORE(Tabla5[[#This Row],[archivo]],"/")</f>
        <v>pereza</v>
      </c>
    </row>
    <row r="859" spans="1:4" x14ac:dyDescent="0.3">
      <c r="A859" t="s">
        <v>3625</v>
      </c>
      <c r="B859" t="s">
        <v>1304</v>
      </c>
      <c r="C859" t="s">
        <v>1304</v>
      </c>
      <c r="D859" t="str">
        <f>_xlfn.TEXTBEFORE(Tabla5[[#This Row],[archivo]],"/")</f>
        <v>pereza</v>
      </c>
    </row>
    <row r="860" spans="1:4" x14ac:dyDescent="0.3">
      <c r="A860" t="s">
        <v>3626</v>
      </c>
      <c r="B860" t="s">
        <v>1301</v>
      </c>
      <c r="C860" t="s">
        <v>1301</v>
      </c>
      <c r="D860" t="str">
        <f>_xlfn.TEXTBEFORE(Tabla5[[#This Row],[archivo]],"/")</f>
        <v>pereza</v>
      </c>
    </row>
    <row r="861" spans="1:4" x14ac:dyDescent="0.3">
      <c r="A861" t="s">
        <v>3627</v>
      </c>
      <c r="B861" t="s">
        <v>2756</v>
      </c>
      <c r="C861" t="s">
        <v>2756</v>
      </c>
      <c r="D861" t="str">
        <f>_xlfn.TEXTBEFORE(Tabla5[[#This Row],[archivo]],"/")</f>
        <v>pereza</v>
      </c>
    </row>
    <row r="862" spans="1:4" x14ac:dyDescent="0.3">
      <c r="A862" t="s">
        <v>3628</v>
      </c>
      <c r="B862" t="s">
        <v>1278</v>
      </c>
      <c r="C862" t="s">
        <v>1278</v>
      </c>
      <c r="D862" t="str">
        <f>_xlfn.TEXTBEFORE(Tabla5[[#This Row],[archivo]],"/")</f>
        <v>pereza</v>
      </c>
    </row>
    <row r="863" spans="1:4" x14ac:dyDescent="0.3">
      <c r="A863" t="s">
        <v>3629</v>
      </c>
      <c r="B863" t="s">
        <v>1287</v>
      </c>
      <c r="C863" t="s">
        <v>1287</v>
      </c>
      <c r="D863" t="str">
        <f>_xlfn.TEXTBEFORE(Tabla5[[#This Row],[archivo]],"/")</f>
        <v>pereza</v>
      </c>
    </row>
    <row r="864" spans="1:4" x14ac:dyDescent="0.3">
      <c r="A864" t="s">
        <v>3630</v>
      </c>
      <c r="B864" t="s">
        <v>1261</v>
      </c>
      <c r="C864" t="s">
        <v>1261</v>
      </c>
      <c r="D864" t="str">
        <f>_xlfn.TEXTBEFORE(Tabla5[[#This Row],[archivo]],"/")</f>
        <v>pereza</v>
      </c>
    </row>
    <row r="865" spans="1:4" x14ac:dyDescent="0.3">
      <c r="A865" t="s">
        <v>3631</v>
      </c>
      <c r="B865" t="s">
        <v>1243</v>
      </c>
      <c r="C865" t="s">
        <v>1243</v>
      </c>
      <c r="D865" t="str">
        <f>_xlfn.TEXTBEFORE(Tabla5[[#This Row],[archivo]],"/")</f>
        <v>pereza</v>
      </c>
    </row>
    <row r="866" spans="1:4" x14ac:dyDescent="0.3">
      <c r="A866" t="s">
        <v>3632</v>
      </c>
      <c r="B866" t="s">
        <v>1283</v>
      </c>
      <c r="C866" t="s">
        <v>1283</v>
      </c>
      <c r="D866" t="str">
        <f>_xlfn.TEXTBEFORE(Tabla5[[#This Row],[archivo]],"/")</f>
        <v>pereza</v>
      </c>
    </row>
    <row r="867" spans="1:4" x14ac:dyDescent="0.3">
      <c r="A867" t="s">
        <v>3633</v>
      </c>
      <c r="B867" t="s">
        <v>1293</v>
      </c>
      <c r="C867" t="s">
        <v>1293</v>
      </c>
      <c r="D867" t="str">
        <f>_xlfn.TEXTBEFORE(Tabla5[[#This Row],[archivo]],"/")</f>
        <v>pereza</v>
      </c>
    </row>
    <row r="868" spans="1:4" x14ac:dyDescent="0.3">
      <c r="A868" t="s">
        <v>3634</v>
      </c>
      <c r="B868" t="s">
        <v>1300</v>
      </c>
      <c r="C868" t="s">
        <v>1300</v>
      </c>
      <c r="D868" t="str">
        <f>_xlfn.TEXTBEFORE(Tabla5[[#This Row],[archivo]],"/")</f>
        <v>pereza</v>
      </c>
    </row>
    <row r="869" spans="1:4" x14ac:dyDescent="0.3">
      <c r="A869" t="s">
        <v>3635</v>
      </c>
      <c r="B869" t="s">
        <v>1256</v>
      </c>
      <c r="C869" t="s">
        <v>1256</v>
      </c>
      <c r="D869" t="str">
        <f>_xlfn.TEXTBEFORE(Tabla5[[#This Row],[archivo]],"/")</f>
        <v>pereza</v>
      </c>
    </row>
    <row r="870" spans="1:4" x14ac:dyDescent="0.3">
      <c r="A870" t="s">
        <v>3636</v>
      </c>
      <c r="B870" t="s">
        <v>1296</v>
      </c>
      <c r="C870" t="s">
        <v>1296</v>
      </c>
      <c r="D870" t="str">
        <f>_xlfn.TEXTBEFORE(Tabla5[[#This Row],[archivo]],"/")</f>
        <v>pereza</v>
      </c>
    </row>
    <row r="871" spans="1:4" x14ac:dyDescent="0.3">
      <c r="A871" t="s">
        <v>3637</v>
      </c>
      <c r="B871" t="s">
        <v>1306</v>
      </c>
      <c r="C871" t="s">
        <v>1306</v>
      </c>
      <c r="D871" t="str">
        <f>_xlfn.TEXTBEFORE(Tabla5[[#This Row],[archivo]],"/")</f>
        <v>pereza</v>
      </c>
    </row>
    <row r="872" spans="1:4" x14ac:dyDescent="0.3">
      <c r="A872" t="s">
        <v>3638</v>
      </c>
      <c r="B872" t="s">
        <v>1267</v>
      </c>
      <c r="C872" t="s">
        <v>1267</v>
      </c>
      <c r="D872" t="str">
        <f>_xlfn.TEXTBEFORE(Tabla5[[#This Row],[archivo]],"/")</f>
        <v>pereza</v>
      </c>
    </row>
    <row r="873" spans="1:4" x14ac:dyDescent="0.3">
      <c r="A873" t="s">
        <v>3639</v>
      </c>
      <c r="B873" t="s">
        <v>1275</v>
      </c>
      <c r="C873" t="s">
        <v>1275</v>
      </c>
      <c r="D873" t="str">
        <f>_xlfn.TEXTBEFORE(Tabla5[[#This Row],[archivo]],"/")</f>
        <v>pereza</v>
      </c>
    </row>
    <row r="874" spans="1:4" x14ac:dyDescent="0.3">
      <c r="A874" t="s">
        <v>3640</v>
      </c>
      <c r="B874" t="s">
        <v>873</v>
      </c>
      <c r="C874" t="s">
        <v>873</v>
      </c>
      <c r="D874" t="str">
        <f>_xlfn.TEXTBEFORE(Tabla5[[#This Row],[archivo]],"/")</f>
        <v>pereza</v>
      </c>
    </row>
    <row r="875" spans="1:4" x14ac:dyDescent="0.3">
      <c r="A875" t="s">
        <v>3641</v>
      </c>
      <c r="B875" t="s">
        <v>1273</v>
      </c>
      <c r="C875" t="s">
        <v>1273</v>
      </c>
      <c r="D875" t="str">
        <f>_xlfn.TEXTBEFORE(Tabla5[[#This Row],[archivo]],"/")</f>
        <v>pereza</v>
      </c>
    </row>
    <row r="876" spans="1:4" x14ac:dyDescent="0.3">
      <c r="A876" t="s">
        <v>3642</v>
      </c>
      <c r="B876" t="s">
        <v>1247</v>
      </c>
      <c r="C876" t="s">
        <v>1247</v>
      </c>
      <c r="D876" t="str">
        <f>_xlfn.TEXTBEFORE(Tabla5[[#This Row],[archivo]],"/")</f>
        <v>pereza</v>
      </c>
    </row>
    <row r="877" spans="1:4" x14ac:dyDescent="0.3">
      <c r="A877" t="s">
        <v>3643</v>
      </c>
      <c r="B877" t="s">
        <v>1270</v>
      </c>
      <c r="C877" t="s">
        <v>1270</v>
      </c>
      <c r="D877" t="str">
        <f>_xlfn.TEXTBEFORE(Tabla5[[#This Row],[archivo]],"/")</f>
        <v>pereza</v>
      </c>
    </row>
    <row r="878" spans="1:4" x14ac:dyDescent="0.3">
      <c r="A878" t="s">
        <v>3644</v>
      </c>
      <c r="B878" t="s">
        <v>1258</v>
      </c>
      <c r="C878" t="s">
        <v>1258</v>
      </c>
      <c r="D878" t="str">
        <f>_xlfn.TEXTBEFORE(Tabla5[[#This Row],[archivo]],"/")</f>
        <v>pereza</v>
      </c>
    </row>
    <row r="879" spans="1:4" x14ac:dyDescent="0.3">
      <c r="A879" t="s">
        <v>3645</v>
      </c>
      <c r="B879" t="s">
        <v>1668</v>
      </c>
      <c r="C879" t="s">
        <v>1668</v>
      </c>
      <c r="D879" t="str">
        <f>_xlfn.TEXTBEFORE(Tabla5[[#This Row],[archivo]],"/")</f>
        <v>pereza</v>
      </c>
    </row>
    <row r="880" spans="1:4" x14ac:dyDescent="0.3">
      <c r="A880" t="s">
        <v>3646</v>
      </c>
      <c r="B880" t="s">
        <v>1253</v>
      </c>
      <c r="C880" t="s">
        <v>1253</v>
      </c>
      <c r="D880" t="str">
        <f>_xlfn.TEXTBEFORE(Tabla5[[#This Row],[archivo]],"/")</f>
        <v>pereza</v>
      </c>
    </row>
    <row r="881" spans="1:4" x14ac:dyDescent="0.3">
      <c r="A881" t="s">
        <v>3647</v>
      </c>
      <c r="B881" t="s">
        <v>1295</v>
      </c>
      <c r="C881" t="s">
        <v>1295</v>
      </c>
      <c r="D881" t="str">
        <f>_xlfn.TEXTBEFORE(Tabla5[[#This Row],[archivo]],"/")</f>
        <v>pereza</v>
      </c>
    </row>
    <row r="882" spans="1:4" x14ac:dyDescent="0.3">
      <c r="A882" t="s">
        <v>3648</v>
      </c>
      <c r="B882" t="s">
        <v>1244</v>
      </c>
      <c r="C882" t="s">
        <v>1244</v>
      </c>
      <c r="D882" t="str">
        <f>_xlfn.TEXTBEFORE(Tabla5[[#This Row],[archivo]],"/")</f>
        <v>pereza</v>
      </c>
    </row>
    <row r="883" spans="1:4" x14ac:dyDescent="0.3">
      <c r="A883" t="s">
        <v>3649</v>
      </c>
      <c r="B883" t="s">
        <v>1280</v>
      </c>
      <c r="C883" t="s">
        <v>1280</v>
      </c>
      <c r="D883" t="str">
        <f>_xlfn.TEXTBEFORE(Tabla5[[#This Row],[archivo]],"/")</f>
        <v>pereza</v>
      </c>
    </row>
    <row r="884" spans="1:4" x14ac:dyDescent="0.3">
      <c r="A884" t="s">
        <v>3650</v>
      </c>
      <c r="B884" t="s">
        <v>1265</v>
      </c>
      <c r="C884" t="s">
        <v>1265</v>
      </c>
      <c r="D884" t="str">
        <f>_xlfn.TEXTBEFORE(Tabla5[[#This Row],[archivo]],"/")</f>
        <v>pereza</v>
      </c>
    </row>
    <row r="885" spans="1:4" x14ac:dyDescent="0.3">
      <c r="A885" t="s">
        <v>3651</v>
      </c>
      <c r="B885" t="s">
        <v>1272</v>
      </c>
      <c r="C885" t="s">
        <v>1272</v>
      </c>
      <c r="D885" t="str">
        <f>_xlfn.TEXTBEFORE(Tabla5[[#This Row],[archivo]],"/")</f>
        <v>pereza</v>
      </c>
    </row>
    <row r="886" spans="1:4" x14ac:dyDescent="0.3">
      <c r="A886" t="s">
        <v>3652</v>
      </c>
      <c r="B886" t="s">
        <v>1299</v>
      </c>
      <c r="C886" t="s">
        <v>1299</v>
      </c>
      <c r="D886" t="str">
        <f>_xlfn.TEXTBEFORE(Tabla5[[#This Row],[archivo]],"/")</f>
        <v>pereza</v>
      </c>
    </row>
    <row r="887" spans="1:4" x14ac:dyDescent="0.3">
      <c r="A887" t="s">
        <v>3653</v>
      </c>
      <c r="B887" t="s">
        <v>1276</v>
      </c>
      <c r="C887" t="s">
        <v>1276</v>
      </c>
      <c r="D887" t="str">
        <f>_xlfn.TEXTBEFORE(Tabla5[[#This Row],[archivo]],"/")</f>
        <v>pereza</v>
      </c>
    </row>
    <row r="888" spans="1:4" x14ac:dyDescent="0.3">
      <c r="A888" t="s">
        <v>3654</v>
      </c>
      <c r="B888" t="s">
        <v>1305</v>
      </c>
      <c r="C888" t="s">
        <v>1305</v>
      </c>
      <c r="D888" t="str">
        <f>_xlfn.TEXTBEFORE(Tabla5[[#This Row],[archivo]],"/")</f>
        <v>pereza</v>
      </c>
    </row>
    <row r="889" spans="1:4" x14ac:dyDescent="0.3">
      <c r="A889" t="s">
        <v>3655</v>
      </c>
      <c r="B889" t="s">
        <v>1250</v>
      </c>
      <c r="C889" t="s">
        <v>1250</v>
      </c>
      <c r="D889" t="str">
        <f>_xlfn.TEXTBEFORE(Tabla5[[#This Row],[archivo]],"/")</f>
        <v>pereza</v>
      </c>
    </row>
    <row r="890" spans="1:4" x14ac:dyDescent="0.3">
      <c r="A890" t="s">
        <v>3656</v>
      </c>
      <c r="B890" t="s">
        <v>1254</v>
      </c>
      <c r="C890" t="s">
        <v>1254</v>
      </c>
      <c r="D890" t="str">
        <f>_xlfn.TEXTBEFORE(Tabla5[[#This Row],[archivo]],"/")</f>
        <v>pereza</v>
      </c>
    </row>
    <row r="891" spans="1:4" x14ac:dyDescent="0.3">
      <c r="A891" t="s">
        <v>3657</v>
      </c>
      <c r="B891" t="s">
        <v>1290</v>
      </c>
      <c r="C891" t="s">
        <v>1290</v>
      </c>
      <c r="D891" t="str">
        <f>_xlfn.TEXTBEFORE(Tabla5[[#This Row],[archivo]],"/")</f>
        <v>pereza</v>
      </c>
    </row>
    <row r="892" spans="1:4" x14ac:dyDescent="0.3">
      <c r="A892" t="s">
        <v>3658</v>
      </c>
      <c r="B892" t="s">
        <v>1274</v>
      </c>
      <c r="C892" t="s">
        <v>1274</v>
      </c>
      <c r="D892" t="str">
        <f>_xlfn.TEXTBEFORE(Tabla5[[#This Row],[archivo]],"/")</f>
        <v>pereza</v>
      </c>
    </row>
    <row r="893" spans="1:4" x14ac:dyDescent="0.3">
      <c r="A893" t="s">
        <v>3659</v>
      </c>
      <c r="B893" t="s">
        <v>1284</v>
      </c>
      <c r="C893" t="s">
        <v>1284</v>
      </c>
      <c r="D893" t="str">
        <f>_xlfn.TEXTBEFORE(Tabla5[[#This Row],[archivo]],"/")</f>
        <v>pereza</v>
      </c>
    </row>
    <row r="894" spans="1:4" x14ac:dyDescent="0.3">
      <c r="A894" t="s">
        <v>3660</v>
      </c>
      <c r="B894" t="s">
        <v>1260</v>
      </c>
      <c r="C894" t="s">
        <v>1260</v>
      </c>
      <c r="D894" t="str">
        <f>_xlfn.TEXTBEFORE(Tabla5[[#This Row],[archivo]],"/")</f>
        <v>pereza</v>
      </c>
    </row>
    <row r="895" spans="1:4" x14ac:dyDescent="0.3">
      <c r="A895" t="s">
        <v>3661</v>
      </c>
      <c r="B895" t="s">
        <v>1268</v>
      </c>
      <c r="C895" t="s">
        <v>1268</v>
      </c>
      <c r="D895" t="str">
        <f>_xlfn.TEXTBEFORE(Tabla5[[#This Row],[archivo]],"/")</f>
        <v>pereza</v>
      </c>
    </row>
    <row r="896" spans="1:4" x14ac:dyDescent="0.3">
      <c r="A896" t="s">
        <v>3662</v>
      </c>
      <c r="B896" t="s">
        <v>1251</v>
      </c>
      <c r="C896" t="s">
        <v>1251</v>
      </c>
      <c r="D896" t="str">
        <f>_xlfn.TEXTBEFORE(Tabla5[[#This Row],[archivo]],"/")</f>
        <v>pereza</v>
      </c>
    </row>
    <row r="897" spans="1:4" x14ac:dyDescent="0.3">
      <c r="A897" t="s">
        <v>3663</v>
      </c>
      <c r="B897" t="s">
        <v>1282</v>
      </c>
      <c r="C897" t="s">
        <v>1282</v>
      </c>
      <c r="D897" t="str">
        <f>_xlfn.TEXTBEFORE(Tabla5[[#This Row],[archivo]],"/")</f>
        <v>pereza</v>
      </c>
    </row>
    <row r="898" spans="1:4" x14ac:dyDescent="0.3">
      <c r="A898" t="s">
        <v>3664</v>
      </c>
      <c r="B898" t="s">
        <v>1262</v>
      </c>
      <c r="C898" t="s">
        <v>1262</v>
      </c>
      <c r="D898" t="str">
        <f>_xlfn.TEXTBEFORE(Tabla5[[#This Row],[archivo]],"/")</f>
        <v>pereza</v>
      </c>
    </row>
    <row r="899" spans="1:4" x14ac:dyDescent="0.3">
      <c r="A899" t="s">
        <v>3665</v>
      </c>
      <c r="B899" t="s">
        <v>1246</v>
      </c>
      <c r="C899" t="s">
        <v>1246</v>
      </c>
      <c r="D899" t="str">
        <f>_xlfn.TEXTBEFORE(Tabla5[[#This Row],[archivo]],"/")</f>
        <v>pereza</v>
      </c>
    </row>
    <row r="900" spans="1:4" x14ac:dyDescent="0.3">
      <c r="A900" t="s">
        <v>3666</v>
      </c>
      <c r="B900" t="s">
        <v>1252</v>
      </c>
      <c r="C900" t="s">
        <v>1252</v>
      </c>
      <c r="D900" t="str">
        <f>_xlfn.TEXTBEFORE(Tabla5[[#This Row],[archivo]],"/")</f>
        <v>pereza</v>
      </c>
    </row>
    <row r="901" spans="1:4" x14ac:dyDescent="0.3">
      <c r="A901" t="s">
        <v>3667</v>
      </c>
      <c r="B901" t="s">
        <v>1249</v>
      </c>
      <c r="C901" t="s">
        <v>1249</v>
      </c>
      <c r="D901" t="str">
        <f>_xlfn.TEXTBEFORE(Tabla5[[#This Row],[archivo]],"/")</f>
        <v>pereza</v>
      </c>
    </row>
    <row r="902" spans="1:4" x14ac:dyDescent="0.3">
      <c r="A902" t="s">
        <v>3668</v>
      </c>
      <c r="B902" t="s">
        <v>1292</v>
      </c>
      <c r="C902" t="s">
        <v>1292</v>
      </c>
      <c r="D902" t="str">
        <f>_xlfn.TEXTBEFORE(Tabla5[[#This Row],[archivo]],"/")</f>
        <v>pereza</v>
      </c>
    </row>
    <row r="903" spans="1:4" x14ac:dyDescent="0.3">
      <c r="A903" t="s">
        <v>3669</v>
      </c>
      <c r="B903" t="s">
        <v>1302</v>
      </c>
      <c r="C903" t="s">
        <v>1302</v>
      </c>
      <c r="D903" t="str">
        <f>_xlfn.TEXTBEFORE(Tabla5[[#This Row],[archivo]],"/")</f>
        <v>pereza</v>
      </c>
    </row>
    <row r="904" spans="1:4" x14ac:dyDescent="0.3">
      <c r="A904" t="s">
        <v>3670</v>
      </c>
      <c r="B904" t="s">
        <v>1291</v>
      </c>
      <c r="C904" t="s">
        <v>1291</v>
      </c>
      <c r="D904" t="str">
        <f>_xlfn.TEXTBEFORE(Tabla5[[#This Row],[archivo]],"/")</f>
        <v>pereza</v>
      </c>
    </row>
    <row r="905" spans="1:4" x14ac:dyDescent="0.3">
      <c r="A905" t="s">
        <v>3671</v>
      </c>
      <c r="B905" t="s">
        <v>1264</v>
      </c>
      <c r="C905" t="s">
        <v>1264</v>
      </c>
      <c r="D905" t="str">
        <f>_xlfn.TEXTBEFORE(Tabla5[[#This Row],[archivo]],"/")</f>
        <v>pereza</v>
      </c>
    </row>
    <row r="906" spans="1:4" x14ac:dyDescent="0.3">
      <c r="A906" t="s">
        <v>3672</v>
      </c>
      <c r="B906" t="s">
        <v>1289</v>
      </c>
      <c r="C906" t="s">
        <v>1289</v>
      </c>
      <c r="D906" t="str">
        <f>_xlfn.TEXTBEFORE(Tabla5[[#This Row],[archivo]],"/")</f>
        <v>pereza</v>
      </c>
    </row>
    <row r="907" spans="1:4" x14ac:dyDescent="0.3">
      <c r="A907" t="s">
        <v>3673</v>
      </c>
      <c r="B907" t="s">
        <v>1255</v>
      </c>
      <c r="C907" t="s">
        <v>1255</v>
      </c>
      <c r="D907" t="str">
        <f>_xlfn.TEXTBEFORE(Tabla5[[#This Row],[archivo]],"/")</f>
        <v>pereza</v>
      </c>
    </row>
    <row r="908" spans="1:4" x14ac:dyDescent="0.3">
      <c r="A908" t="s">
        <v>3674</v>
      </c>
      <c r="B908" t="s">
        <v>0</v>
      </c>
      <c r="C908" t="s">
        <v>0</v>
      </c>
      <c r="D908" t="str">
        <f>_xlfn.TEXTBEFORE(Tabla5[[#This Row],[archivo]],"/")</f>
        <v>revolver</v>
      </c>
    </row>
    <row r="909" spans="1:4" x14ac:dyDescent="0.3">
      <c r="A909" t="s">
        <v>3675</v>
      </c>
      <c r="B909" t="s">
        <v>2112</v>
      </c>
      <c r="C909" t="s">
        <v>2112</v>
      </c>
      <c r="D909" t="str">
        <f>_xlfn.TEXTBEFORE(Tabla5[[#This Row],[archivo]],"/")</f>
        <v>revolver</v>
      </c>
    </row>
    <row r="910" spans="1:4" x14ac:dyDescent="0.3">
      <c r="A910" t="s">
        <v>3676</v>
      </c>
      <c r="B910" t="s">
        <v>2462</v>
      </c>
      <c r="C910" t="s">
        <v>2462</v>
      </c>
      <c r="D910" t="str">
        <f>_xlfn.TEXTBEFORE(Tabla5[[#This Row],[archivo]],"/")</f>
        <v>revolver</v>
      </c>
    </row>
    <row r="911" spans="1:4" x14ac:dyDescent="0.3">
      <c r="A911" t="s">
        <v>3677</v>
      </c>
      <c r="B911" t="s">
        <v>2465</v>
      </c>
      <c r="C911" t="s">
        <v>2465</v>
      </c>
      <c r="D911" t="str">
        <f>_xlfn.TEXTBEFORE(Tabla5[[#This Row],[archivo]],"/")</f>
        <v>revolver</v>
      </c>
    </row>
    <row r="912" spans="1:4" x14ac:dyDescent="0.3">
      <c r="A912" t="s">
        <v>3678</v>
      </c>
      <c r="B912" t="s">
        <v>2</v>
      </c>
      <c r="C912" t="s">
        <v>2</v>
      </c>
      <c r="D912" t="str">
        <f>_xlfn.TEXTBEFORE(Tabla5[[#This Row],[archivo]],"/")</f>
        <v>revolver</v>
      </c>
    </row>
    <row r="913" spans="1:4" x14ac:dyDescent="0.3">
      <c r="A913" t="s">
        <v>3679</v>
      </c>
      <c r="B913" t="s">
        <v>3</v>
      </c>
      <c r="C913" t="s">
        <v>3</v>
      </c>
      <c r="D913" t="str">
        <f>_xlfn.TEXTBEFORE(Tabla5[[#This Row],[archivo]],"/")</f>
        <v>revolver</v>
      </c>
    </row>
    <row r="914" spans="1:4" x14ac:dyDescent="0.3">
      <c r="A914" t="s">
        <v>3680</v>
      </c>
      <c r="B914" t="s">
        <v>4</v>
      </c>
      <c r="C914" t="s">
        <v>4</v>
      </c>
      <c r="D914" t="str">
        <f>_xlfn.TEXTBEFORE(Tabla5[[#This Row],[archivo]],"/")</f>
        <v>revolver</v>
      </c>
    </row>
    <row r="915" spans="1:4" x14ac:dyDescent="0.3">
      <c r="A915" t="s">
        <v>3681</v>
      </c>
      <c r="B915" t="s">
        <v>2562</v>
      </c>
      <c r="C915" t="s">
        <v>2562</v>
      </c>
      <c r="D915" t="str">
        <f>_xlfn.TEXTBEFORE(Tabla5[[#This Row],[archivo]],"/")</f>
        <v>revolver</v>
      </c>
    </row>
    <row r="916" spans="1:4" x14ac:dyDescent="0.3">
      <c r="A916" t="s">
        <v>3682</v>
      </c>
      <c r="B916" t="s">
        <v>1</v>
      </c>
      <c r="C916" t="s">
        <v>1</v>
      </c>
      <c r="D916" t="str">
        <f>_xlfn.TEXTBEFORE(Tabla5[[#This Row],[archivo]],"/")</f>
        <v>revolver</v>
      </c>
    </row>
    <row r="917" spans="1:4" x14ac:dyDescent="0.3">
      <c r="A917" t="s">
        <v>3683</v>
      </c>
      <c r="B917" t="s">
        <v>5</v>
      </c>
      <c r="C917" t="s">
        <v>5</v>
      </c>
      <c r="D917" t="str">
        <f>_xlfn.TEXTBEFORE(Tabla5[[#This Row],[archivo]],"/")</f>
        <v>revolver</v>
      </c>
    </row>
    <row r="918" spans="1:4" x14ac:dyDescent="0.3">
      <c r="A918" t="s">
        <v>3684</v>
      </c>
      <c r="B918" t="s">
        <v>6</v>
      </c>
      <c r="C918" t="s">
        <v>6</v>
      </c>
      <c r="D918" t="str">
        <f>_xlfn.TEXTBEFORE(Tabla5[[#This Row],[archivo]],"/")</f>
        <v>revolver</v>
      </c>
    </row>
    <row r="919" spans="1:4" x14ac:dyDescent="0.3">
      <c r="A919" t="s">
        <v>3685</v>
      </c>
      <c r="B919" t="s">
        <v>7</v>
      </c>
      <c r="C919" t="s">
        <v>7</v>
      </c>
      <c r="D919" t="str">
        <f>_xlfn.TEXTBEFORE(Tabla5[[#This Row],[archivo]],"/")</f>
        <v>revolver</v>
      </c>
    </row>
    <row r="920" spans="1:4" x14ac:dyDescent="0.3">
      <c r="A920" t="s">
        <v>3686</v>
      </c>
      <c r="B920" t="s">
        <v>2467</v>
      </c>
      <c r="C920" t="s">
        <v>2467</v>
      </c>
      <c r="D920" t="str">
        <f>_xlfn.TEXTBEFORE(Tabla5[[#This Row],[archivo]],"/")</f>
        <v>revolver</v>
      </c>
    </row>
    <row r="921" spans="1:4" x14ac:dyDescent="0.3">
      <c r="A921" t="s">
        <v>3687</v>
      </c>
      <c r="B921" t="s">
        <v>2757</v>
      </c>
      <c r="C921" t="s">
        <v>2757</v>
      </c>
      <c r="D921" t="str">
        <f>_xlfn.TEXTBEFORE(Tabla5[[#This Row],[archivo]],"/")</f>
        <v>revolver</v>
      </c>
    </row>
    <row r="922" spans="1:4" x14ac:dyDescent="0.3">
      <c r="A922" t="s">
        <v>3688</v>
      </c>
      <c r="B922" t="s">
        <v>9</v>
      </c>
      <c r="C922" t="s">
        <v>9</v>
      </c>
      <c r="D922" t="str">
        <f>_xlfn.TEXTBEFORE(Tabla5[[#This Row],[archivo]],"/")</f>
        <v>revolver</v>
      </c>
    </row>
    <row r="923" spans="1:4" x14ac:dyDescent="0.3">
      <c r="A923" t="s">
        <v>3689</v>
      </c>
      <c r="B923" t="s">
        <v>10</v>
      </c>
      <c r="C923" t="s">
        <v>10</v>
      </c>
      <c r="D923" t="str">
        <f>_xlfn.TEXTBEFORE(Tabla5[[#This Row],[archivo]],"/")</f>
        <v>revolver</v>
      </c>
    </row>
    <row r="924" spans="1:4" x14ac:dyDescent="0.3">
      <c r="A924" t="s">
        <v>3690</v>
      </c>
      <c r="B924" t="s">
        <v>10</v>
      </c>
      <c r="C924" t="s">
        <v>10</v>
      </c>
      <c r="D924" t="str">
        <f>_xlfn.TEXTBEFORE(Tabla5[[#This Row],[archivo]],"/")</f>
        <v>revolver</v>
      </c>
    </row>
    <row r="925" spans="1:4" x14ac:dyDescent="0.3">
      <c r="A925" t="s">
        <v>3691</v>
      </c>
      <c r="B925" t="s">
        <v>12</v>
      </c>
      <c r="C925" t="s">
        <v>12</v>
      </c>
      <c r="D925" t="str">
        <f>_xlfn.TEXTBEFORE(Tabla5[[#This Row],[archivo]],"/")</f>
        <v>revolver</v>
      </c>
    </row>
    <row r="926" spans="1:4" x14ac:dyDescent="0.3">
      <c r="A926" t="s">
        <v>3692</v>
      </c>
      <c r="B926" t="s">
        <v>12</v>
      </c>
      <c r="C926" t="s">
        <v>12</v>
      </c>
      <c r="D926" t="str">
        <f>_xlfn.TEXTBEFORE(Tabla5[[#This Row],[archivo]],"/")</f>
        <v>revolver</v>
      </c>
    </row>
    <row r="927" spans="1:4" x14ac:dyDescent="0.3">
      <c r="A927" t="s">
        <v>3693</v>
      </c>
      <c r="B927" t="s">
        <v>1486</v>
      </c>
      <c r="C927" t="s">
        <v>1486</v>
      </c>
      <c r="D927" t="str">
        <f>_xlfn.TEXTBEFORE(Tabla5[[#This Row],[archivo]],"/")</f>
        <v>revolver</v>
      </c>
    </row>
    <row r="928" spans="1:4" x14ac:dyDescent="0.3">
      <c r="A928" t="s">
        <v>3694</v>
      </c>
      <c r="B928" t="s">
        <v>13</v>
      </c>
      <c r="C928" t="s">
        <v>13</v>
      </c>
      <c r="D928" t="str">
        <f>_xlfn.TEXTBEFORE(Tabla5[[#This Row],[archivo]],"/")</f>
        <v>revolver</v>
      </c>
    </row>
    <row r="929" spans="1:4" x14ac:dyDescent="0.3">
      <c r="A929" t="s">
        <v>3695</v>
      </c>
      <c r="B929" t="s">
        <v>14</v>
      </c>
      <c r="C929" t="s">
        <v>14</v>
      </c>
      <c r="D929" t="str">
        <f>_xlfn.TEXTBEFORE(Tabla5[[#This Row],[archivo]],"/")</f>
        <v>revolver</v>
      </c>
    </row>
    <row r="930" spans="1:4" x14ac:dyDescent="0.3">
      <c r="A930" t="s">
        <v>3696</v>
      </c>
      <c r="B930" t="s">
        <v>2113</v>
      </c>
      <c r="C930" t="s">
        <v>2113</v>
      </c>
      <c r="D930" t="str">
        <f>_xlfn.TEXTBEFORE(Tabla5[[#This Row],[archivo]],"/")</f>
        <v>revolver</v>
      </c>
    </row>
    <row r="931" spans="1:4" x14ac:dyDescent="0.3">
      <c r="A931" t="s">
        <v>3697</v>
      </c>
      <c r="B931" t="s">
        <v>15</v>
      </c>
      <c r="C931" t="s">
        <v>15</v>
      </c>
      <c r="D931" t="str">
        <f>_xlfn.TEXTBEFORE(Tabla5[[#This Row],[archivo]],"/")</f>
        <v>revolver</v>
      </c>
    </row>
    <row r="932" spans="1:4" x14ac:dyDescent="0.3">
      <c r="A932" t="s">
        <v>3698</v>
      </c>
      <c r="B932" t="s">
        <v>16</v>
      </c>
      <c r="C932" t="s">
        <v>16</v>
      </c>
      <c r="D932" t="str">
        <f>_xlfn.TEXTBEFORE(Tabla5[[#This Row],[archivo]],"/")</f>
        <v>revolver</v>
      </c>
    </row>
    <row r="933" spans="1:4" x14ac:dyDescent="0.3">
      <c r="A933" t="s">
        <v>3699</v>
      </c>
      <c r="B933" t="s">
        <v>17</v>
      </c>
      <c r="C933" t="s">
        <v>17</v>
      </c>
      <c r="D933" t="str">
        <f>_xlfn.TEXTBEFORE(Tabla5[[#This Row],[archivo]],"/")</f>
        <v>revolver</v>
      </c>
    </row>
    <row r="934" spans="1:4" x14ac:dyDescent="0.3">
      <c r="A934" t="s">
        <v>3700</v>
      </c>
      <c r="B934" t="s">
        <v>2111</v>
      </c>
      <c r="C934" t="s">
        <v>2111</v>
      </c>
      <c r="D934" t="str">
        <f>_xlfn.TEXTBEFORE(Tabla5[[#This Row],[archivo]],"/")</f>
        <v>revolver</v>
      </c>
    </row>
    <row r="935" spans="1:4" x14ac:dyDescent="0.3">
      <c r="A935" t="s">
        <v>3701</v>
      </c>
      <c r="B935" t="s">
        <v>18</v>
      </c>
      <c r="C935" t="s">
        <v>18</v>
      </c>
      <c r="D935" t="str">
        <f>_xlfn.TEXTBEFORE(Tabla5[[#This Row],[archivo]],"/")</f>
        <v>revolver</v>
      </c>
    </row>
    <row r="936" spans="1:4" x14ac:dyDescent="0.3">
      <c r="A936" t="s">
        <v>3702</v>
      </c>
      <c r="B936" t="s">
        <v>18</v>
      </c>
      <c r="C936" t="s">
        <v>18</v>
      </c>
      <c r="D936" t="str">
        <f>_xlfn.TEXTBEFORE(Tabla5[[#This Row],[archivo]],"/")</f>
        <v>revolver</v>
      </c>
    </row>
    <row r="937" spans="1:4" x14ac:dyDescent="0.3">
      <c r="A937" t="s">
        <v>3703</v>
      </c>
      <c r="B937" t="s">
        <v>2463</v>
      </c>
      <c r="C937" t="s">
        <v>2463</v>
      </c>
      <c r="D937" t="str">
        <f>_xlfn.TEXTBEFORE(Tabla5[[#This Row],[archivo]],"/")</f>
        <v>revolver</v>
      </c>
    </row>
    <row r="938" spans="1:4" x14ac:dyDescent="0.3">
      <c r="A938" t="s">
        <v>3704</v>
      </c>
      <c r="B938" t="s">
        <v>2463</v>
      </c>
      <c r="C938" t="s">
        <v>2463</v>
      </c>
      <c r="D938" t="str">
        <f>_xlfn.TEXTBEFORE(Tabla5[[#This Row],[archivo]],"/")</f>
        <v>revolver</v>
      </c>
    </row>
    <row r="939" spans="1:4" x14ac:dyDescent="0.3">
      <c r="A939" t="s">
        <v>3705</v>
      </c>
      <c r="B939" t="s">
        <v>20</v>
      </c>
      <c r="C939" t="s">
        <v>20</v>
      </c>
      <c r="D939" t="str">
        <f>_xlfn.TEXTBEFORE(Tabla5[[#This Row],[archivo]],"/")</f>
        <v>revolver</v>
      </c>
    </row>
    <row r="940" spans="1:4" x14ac:dyDescent="0.3">
      <c r="A940" t="s">
        <v>3706</v>
      </c>
      <c r="B940" t="s">
        <v>21</v>
      </c>
      <c r="C940" t="s">
        <v>21</v>
      </c>
      <c r="D940" t="str">
        <f>_xlfn.TEXTBEFORE(Tabla5[[#This Row],[archivo]],"/")</f>
        <v>revolver</v>
      </c>
    </row>
    <row r="941" spans="1:4" x14ac:dyDescent="0.3">
      <c r="A941" t="s">
        <v>3707</v>
      </c>
      <c r="B941" t="s">
        <v>22</v>
      </c>
      <c r="C941" t="s">
        <v>22</v>
      </c>
      <c r="D941" t="str">
        <f>_xlfn.TEXTBEFORE(Tabla5[[#This Row],[archivo]],"/")</f>
        <v>revolver</v>
      </c>
    </row>
    <row r="942" spans="1:4" x14ac:dyDescent="0.3">
      <c r="A942" t="s">
        <v>3708</v>
      </c>
      <c r="B942" t="s">
        <v>23</v>
      </c>
      <c r="C942" t="s">
        <v>23</v>
      </c>
      <c r="D942" t="str">
        <f>_xlfn.TEXTBEFORE(Tabla5[[#This Row],[archivo]],"/")</f>
        <v>revolver</v>
      </c>
    </row>
    <row r="943" spans="1:4" x14ac:dyDescent="0.3">
      <c r="A943" t="s">
        <v>3709</v>
      </c>
      <c r="B943" t="s">
        <v>24</v>
      </c>
      <c r="C943" t="s">
        <v>24</v>
      </c>
      <c r="D943" t="str">
        <f>_xlfn.TEXTBEFORE(Tabla5[[#This Row],[archivo]],"/")</f>
        <v>revolver</v>
      </c>
    </row>
    <row r="944" spans="1:4" x14ac:dyDescent="0.3">
      <c r="A944" t="s">
        <v>3710</v>
      </c>
      <c r="B944" t="s">
        <v>33</v>
      </c>
      <c r="C944" t="s">
        <v>33</v>
      </c>
      <c r="D944" t="str">
        <f>_xlfn.TEXTBEFORE(Tabla5[[#This Row],[archivo]],"/")</f>
        <v>revolver</v>
      </c>
    </row>
    <row r="945" spans="1:4" x14ac:dyDescent="0.3">
      <c r="A945" t="s">
        <v>3711</v>
      </c>
      <c r="B945" t="s">
        <v>25</v>
      </c>
      <c r="C945" t="s">
        <v>25</v>
      </c>
      <c r="D945" t="str">
        <f>_xlfn.TEXTBEFORE(Tabla5[[#This Row],[archivo]],"/")</f>
        <v>revolver</v>
      </c>
    </row>
    <row r="946" spans="1:4" x14ac:dyDescent="0.3">
      <c r="A946" t="s">
        <v>3712</v>
      </c>
      <c r="B946" t="s">
        <v>2461</v>
      </c>
      <c r="C946" t="s">
        <v>2461</v>
      </c>
      <c r="D946" t="str">
        <f>_xlfn.TEXTBEFORE(Tabla5[[#This Row],[archivo]],"/")</f>
        <v>revolver</v>
      </c>
    </row>
    <row r="947" spans="1:4" x14ac:dyDescent="0.3">
      <c r="A947" t="s">
        <v>3713</v>
      </c>
      <c r="B947" t="s">
        <v>26</v>
      </c>
      <c r="C947" t="s">
        <v>26</v>
      </c>
      <c r="D947" t="str">
        <f>_xlfn.TEXTBEFORE(Tabla5[[#This Row],[archivo]],"/")</f>
        <v>revolver</v>
      </c>
    </row>
    <row r="948" spans="1:4" x14ac:dyDescent="0.3">
      <c r="A948" t="s">
        <v>3714</v>
      </c>
      <c r="B948" t="s">
        <v>27</v>
      </c>
      <c r="C948" t="s">
        <v>27</v>
      </c>
      <c r="D948" t="str">
        <f>_xlfn.TEXTBEFORE(Tabla5[[#This Row],[archivo]],"/")</f>
        <v>revolver</v>
      </c>
    </row>
    <row r="949" spans="1:4" x14ac:dyDescent="0.3">
      <c r="A949" t="s">
        <v>3715</v>
      </c>
      <c r="B949" t="s">
        <v>28</v>
      </c>
      <c r="C949" t="s">
        <v>28</v>
      </c>
      <c r="D949" t="str">
        <f>_xlfn.TEXTBEFORE(Tabla5[[#This Row],[archivo]],"/")</f>
        <v>revolver</v>
      </c>
    </row>
    <row r="950" spans="1:4" x14ac:dyDescent="0.3">
      <c r="A950" t="s">
        <v>3716</v>
      </c>
      <c r="B950" t="s">
        <v>29</v>
      </c>
      <c r="C950" t="s">
        <v>29</v>
      </c>
      <c r="D950" t="str">
        <f>_xlfn.TEXTBEFORE(Tabla5[[#This Row],[archivo]],"/")</f>
        <v>revolver</v>
      </c>
    </row>
    <row r="951" spans="1:4" x14ac:dyDescent="0.3">
      <c r="A951" t="s">
        <v>3717</v>
      </c>
      <c r="B951" t="s">
        <v>2466</v>
      </c>
      <c r="C951" t="s">
        <v>2466</v>
      </c>
      <c r="D951" t="str">
        <f>_xlfn.TEXTBEFORE(Tabla5[[#This Row],[archivo]],"/")</f>
        <v>revolver</v>
      </c>
    </row>
    <row r="952" spans="1:4" x14ac:dyDescent="0.3">
      <c r="A952" t="s">
        <v>3718</v>
      </c>
      <c r="B952" t="s">
        <v>30</v>
      </c>
      <c r="C952" t="s">
        <v>30</v>
      </c>
      <c r="D952" t="str">
        <f>_xlfn.TEXTBEFORE(Tabla5[[#This Row],[archivo]],"/")</f>
        <v>revolver</v>
      </c>
    </row>
    <row r="953" spans="1:4" x14ac:dyDescent="0.3">
      <c r="A953" t="s">
        <v>3719</v>
      </c>
      <c r="B953" t="s">
        <v>31</v>
      </c>
      <c r="C953" t="s">
        <v>31</v>
      </c>
      <c r="D953" t="str">
        <f>_xlfn.TEXTBEFORE(Tabla5[[#This Row],[archivo]],"/")</f>
        <v>revolver</v>
      </c>
    </row>
    <row r="954" spans="1:4" x14ac:dyDescent="0.3">
      <c r="A954" t="s">
        <v>3720</v>
      </c>
      <c r="B954" t="s">
        <v>32</v>
      </c>
      <c r="C954" t="s">
        <v>32</v>
      </c>
      <c r="D954" t="str">
        <f>_xlfn.TEXTBEFORE(Tabla5[[#This Row],[archivo]],"/")</f>
        <v>revolver</v>
      </c>
    </row>
    <row r="955" spans="1:4" x14ac:dyDescent="0.3">
      <c r="A955" t="s">
        <v>3721</v>
      </c>
      <c r="B955" t="s">
        <v>36</v>
      </c>
      <c r="C955" t="s">
        <v>36</v>
      </c>
      <c r="D955" t="str">
        <f>_xlfn.TEXTBEFORE(Tabla5[[#This Row],[archivo]],"/")</f>
        <v>revolver</v>
      </c>
    </row>
    <row r="956" spans="1:4" x14ac:dyDescent="0.3">
      <c r="A956" t="s">
        <v>3722</v>
      </c>
      <c r="B956" t="s">
        <v>34</v>
      </c>
      <c r="C956" t="s">
        <v>34</v>
      </c>
      <c r="D956" t="str">
        <f>_xlfn.TEXTBEFORE(Tabla5[[#This Row],[archivo]],"/")</f>
        <v>revolver</v>
      </c>
    </row>
    <row r="957" spans="1:4" x14ac:dyDescent="0.3">
      <c r="A957" t="s">
        <v>3723</v>
      </c>
      <c r="B957" t="s">
        <v>35</v>
      </c>
      <c r="C957" t="s">
        <v>35</v>
      </c>
      <c r="D957" t="str">
        <f>_xlfn.TEXTBEFORE(Tabla5[[#This Row],[archivo]],"/")</f>
        <v>revolver</v>
      </c>
    </row>
    <row r="958" spans="1:4" x14ac:dyDescent="0.3">
      <c r="A958" t="s">
        <v>3724</v>
      </c>
      <c r="B958" t="s">
        <v>39</v>
      </c>
      <c r="C958" t="s">
        <v>39</v>
      </c>
      <c r="D958" t="str">
        <f>_xlfn.TEXTBEFORE(Tabla5[[#This Row],[archivo]],"/")</f>
        <v>revolver</v>
      </c>
    </row>
    <row r="959" spans="1:4" x14ac:dyDescent="0.3">
      <c r="A959" t="s">
        <v>3725</v>
      </c>
      <c r="B959" t="s">
        <v>2758</v>
      </c>
      <c r="C959" t="s">
        <v>2758</v>
      </c>
      <c r="D959" t="str">
        <f>_xlfn.TEXTBEFORE(Tabla5[[#This Row],[archivo]],"/")</f>
        <v>revolver</v>
      </c>
    </row>
    <row r="960" spans="1:4" x14ac:dyDescent="0.3">
      <c r="A960" t="s">
        <v>3726</v>
      </c>
      <c r="B960" t="s">
        <v>41</v>
      </c>
      <c r="C960" t="s">
        <v>41</v>
      </c>
      <c r="D960" t="str">
        <f>_xlfn.TEXTBEFORE(Tabla5[[#This Row],[archivo]],"/")</f>
        <v>revolver</v>
      </c>
    </row>
    <row r="961" spans="1:4" x14ac:dyDescent="0.3">
      <c r="A961" t="s">
        <v>3727</v>
      </c>
      <c r="B961" t="s">
        <v>42</v>
      </c>
      <c r="C961" t="s">
        <v>42</v>
      </c>
      <c r="D961" t="str">
        <f>_xlfn.TEXTBEFORE(Tabla5[[#This Row],[archivo]],"/")</f>
        <v>revolver</v>
      </c>
    </row>
    <row r="962" spans="1:4" x14ac:dyDescent="0.3">
      <c r="A962" t="s">
        <v>3728</v>
      </c>
      <c r="B962" t="s">
        <v>1479</v>
      </c>
      <c r="C962" t="s">
        <v>1479</v>
      </c>
      <c r="D962" t="str">
        <f>_xlfn.TEXTBEFORE(Tabla5[[#This Row],[archivo]],"/")</f>
        <v>revolver</v>
      </c>
    </row>
    <row r="963" spans="1:4" x14ac:dyDescent="0.3">
      <c r="A963" t="s">
        <v>3729</v>
      </c>
      <c r="B963" t="s">
        <v>2464</v>
      </c>
      <c r="C963" t="s">
        <v>2464</v>
      </c>
      <c r="D963" t="str">
        <f>_xlfn.TEXTBEFORE(Tabla5[[#This Row],[archivo]],"/")</f>
        <v>revolver</v>
      </c>
    </row>
    <row r="964" spans="1:4" x14ac:dyDescent="0.3">
      <c r="A964" t="s">
        <v>3730</v>
      </c>
      <c r="B964" t="s">
        <v>268</v>
      </c>
      <c r="C964" t="s">
        <v>268</v>
      </c>
      <c r="D964" t="str">
        <f>_xlfn.TEXTBEFORE(Tabla5[[#This Row],[archivo]],"/")</f>
        <v>revolver</v>
      </c>
    </row>
    <row r="965" spans="1:4" x14ac:dyDescent="0.3">
      <c r="A965" t="s">
        <v>3731</v>
      </c>
      <c r="B965" t="s">
        <v>2759</v>
      </c>
      <c r="C965" t="s">
        <v>2759</v>
      </c>
      <c r="D965" t="str">
        <f>_xlfn.TEXTBEFORE(Tabla5[[#This Row],[archivo]],"/")</f>
        <v>revolver</v>
      </c>
    </row>
    <row r="966" spans="1:4" x14ac:dyDescent="0.3">
      <c r="A966" t="s">
        <v>3732</v>
      </c>
      <c r="B966" t="s">
        <v>43</v>
      </c>
      <c r="C966" t="s">
        <v>43</v>
      </c>
      <c r="D966" t="str">
        <f>_xlfn.TEXTBEFORE(Tabla5[[#This Row],[archivo]],"/")</f>
        <v>revolver</v>
      </c>
    </row>
    <row r="967" spans="1:4" x14ac:dyDescent="0.3">
      <c r="A967" t="s">
        <v>3733</v>
      </c>
      <c r="B967" t="s">
        <v>37</v>
      </c>
      <c r="C967" t="s">
        <v>37</v>
      </c>
      <c r="D967" t="str">
        <f>_xlfn.TEXTBEFORE(Tabla5[[#This Row],[archivo]],"/")</f>
        <v>revolver</v>
      </c>
    </row>
    <row r="968" spans="1:4" x14ac:dyDescent="0.3">
      <c r="A968" t="s">
        <v>3734</v>
      </c>
      <c r="B968" t="s">
        <v>38</v>
      </c>
      <c r="C968" t="s">
        <v>38</v>
      </c>
      <c r="D968" t="str">
        <f>_xlfn.TEXTBEFORE(Tabla5[[#This Row],[archivo]],"/")</f>
        <v>revolver</v>
      </c>
    </row>
    <row r="969" spans="1:4" x14ac:dyDescent="0.3">
      <c r="A969" t="s">
        <v>3735</v>
      </c>
      <c r="B969" t="s">
        <v>44</v>
      </c>
      <c r="C969" t="s">
        <v>44</v>
      </c>
      <c r="D969" t="str">
        <f>_xlfn.TEXTBEFORE(Tabla5[[#This Row],[archivo]],"/")</f>
        <v>revolver</v>
      </c>
    </row>
    <row r="970" spans="1:4" x14ac:dyDescent="0.3">
      <c r="A970" t="s">
        <v>3736</v>
      </c>
      <c r="B970" t="s">
        <v>45</v>
      </c>
      <c r="C970" t="s">
        <v>45</v>
      </c>
      <c r="D970" t="str">
        <f>_xlfn.TEXTBEFORE(Tabla5[[#This Row],[archivo]],"/")</f>
        <v>revolver</v>
      </c>
    </row>
    <row r="971" spans="1:4" x14ac:dyDescent="0.3">
      <c r="A971" t="s">
        <v>3737</v>
      </c>
      <c r="B971" t="s">
        <v>46</v>
      </c>
      <c r="C971" t="s">
        <v>46</v>
      </c>
      <c r="D971" t="str">
        <f>_xlfn.TEXTBEFORE(Tabla5[[#This Row],[archivo]],"/")</f>
        <v>revolver</v>
      </c>
    </row>
    <row r="972" spans="1:4" x14ac:dyDescent="0.3">
      <c r="A972" t="s">
        <v>3738</v>
      </c>
      <c r="B972" t="s">
        <v>47</v>
      </c>
      <c r="C972" t="s">
        <v>47</v>
      </c>
      <c r="D972" t="str">
        <f>_xlfn.TEXTBEFORE(Tabla5[[#This Row],[archivo]],"/")</f>
        <v>revolver</v>
      </c>
    </row>
    <row r="973" spans="1:4" x14ac:dyDescent="0.3">
      <c r="A973" t="s">
        <v>3739</v>
      </c>
      <c r="B973" t="s">
        <v>48</v>
      </c>
      <c r="C973" t="s">
        <v>48</v>
      </c>
      <c r="D973" t="str">
        <f>_xlfn.TEXTBEFORE(Tabla5[[#This Row],[archivo]],"/")</f>
        <v>revolver</v>
      </c>
    </row>
    <row r="974" spans="1:4" x14ac:dyDescent="0.3">
      <c r="A974" t="s">
        <v>3740</v>
      </c>
      <c r="B974" t="s">
        <v>49</v>
      </c>
      <c r="C974" t="s">
        <v>49</v>
      </c>
      <c r="D974" t="str">
        <f>_xlfn.TEXTBEFORE(Tabla5[[#This Row],[archivo]],"/")</f>
        <v>revolver</v>
      </c>
    </row>
    <row r="975" spans="1:4" x14ac:dyDescent="0.3">
      <c r="A975" t="s">
        <v>3741</v>
      </c>
      <c r="B975" t="s">
        <v>50</v>
      </c>
      <c r="C975" t="s">
        <v>50</v>
      </c>
      <c r="D975" t="str">
        <f>_xlfn.TEXTBEFORE(Tabla5[[#This Row],[archivo]],"/")</f>
        <v>revolver</v>
      </c>
    </row>
    <row r="976" spans="1:4" x14ac:dyDescent="0.3">
      <c r="A976" t="s">
        <v>3742</v>
      </c>
      <c r="B976" t="s">
        <v>2469</v>
      </c>
      <c r="C976" t="s">
        <v>2469</v>
      </c>
      <c r="D976" t="str">
        <f>_xlfn.TEXTBEFORE(Tabla5[[#This Row],[archivo]],"/")</f>
        <v>revolver</v>
      </c>
    </row>
    <row r="977" spans="1:4" x14ac:dyDescent="0.3">
      <c r="A977" t="s">
        <v>3743</v>
      </c>
      <c r="B977" t="s">
        <v>57</v>
      </c>
      <c r="C977" t="s">
        <v>57</v>
      </c>
      <c r="D977" t="str">
        <f>_xlfn.TEXTBEFORE(Tabla5[[#This Row],[archivo]],"/")</f>
        <v>revolver</v>
      </c>
    </row>
    <row r="978" spans="1:4" x14ac:dyDescent="0.3">
      <c r="A978" t="s">
        <v>3744</v>
      </c>
      <c r="B978" t="s">
        <v>58</v>
      </c>
      <c r="C978" t="s">
        <v>58</v>
      </c>
      <c r="D978" t="str">
        <f>_xlfn.TEXTBEFORE(Tabla5[[#This Row],[archivo]],"/")</f>
        <v>revolver</v>
      </c>
    </row>
    <row r="979" spans="1:4" x14ac:dyDescent="0.3">
      <c r="A979" t="s">
        <v>3745</v>
      </c>
      <c r="B979" t="s">
        <v>51</v>
      </c>
      <c r="C979" t="s">
        <v>51</v>
      </c>
      <c r="D979" t="str">
        <f>_xlfn.TEXTBEFORE(Tabla5[[#This Row],[archivo]],"/")</f>
        <v>revolver</v>
      </c>
    </row>
    <row r="980" spans="1:4" x14ac:dyDescent="0.3">
      <c r="A980" t="s">
        <v>3746</v>
      </c>
      <c r="B980" t="s">
        <v>52</v>
      </c>
      <c r="C980" t="s">
        <v>52</v>
      </c>
      <c r="D980" t="str">
        <f>_xlfn.TEXTBEFORE(Tabla5[[#This Row],[archivo]],"/")</f>
        <v>revolver</v>
      </c>
    </row>
    <row r="981" spans="1:4" x14ac:dyDescent="0.3">
      <c r="A981" t="s">
        <v>3747</v>
      </c>
      <c r="B981" t="s">
        <v>53</v>
      </c>
      <c r="C981" t="s">
        <v>53</v>
      </c>
      <c r="D981" t="str">
        <f>_xlfn.TEXTBEFORE(Tabla5[[#This Row],[archivo]],"/")</f>
        <v>revolver</v>
      </c>
    </row>
    <row r="982" spans="1:4" x14ac:dyDescent="0.3">
      <c r="A982" t="s">
        <v>3748</v>
      </c>
      <c r="B982" t="s">
        <v>2760</v>
      </c>
      <c r="C982" t="s">
        <v>2760</v>
      </c>
      <c r="D982" t="str">
        <f>_xlfn.TEXTBEFORE(Tabla5[[#This Row],[archivo]],"/")</f>
        <v>revolver</v>
      </c>
    </row>
    <row r="983" spans="1:4" x14ac:dyDescent="0.3">
      <c r="A983" t="s">
        <v>3749</v>
      </c>
      <c r="B983" t="s">
        <v>54</v>
      </c>
      <c r="C983" t="s">
        <v>54</v>
      </c>
      <c r="D983" t="str">
        <f>_xlfn.TEXTBEFORE(Tabla5[[#This Row],[archivo]],"/")</f>
        <v>revolver</v>
      </c>
    </row>
    <row r="984" spans="1:4" x14ac:dyDescent="0.3">
      <c r="A984" t="s">
        <v>3750</v>
      </c>
      <c r="B984" t="s">
        <v>2761</v>
      </c>
      <c r="C984" t="s">
        <v>2761</v>
      </c>
      <c r="D984" t="str">
        <f>_xlfn.TEXTBEFORE(Tabla5[[#This Row],[archivo]],"/")</f>
        <v>revolver</v>
      </c>
    </row>
    <row r="985" spans="1:4" x14ac:dyDescent="0.3">
      <c r="A985" t="s">
        <v>3751</v>
      </c>
      <c r="B985" t="s">
        <v>55</v>
      </c>
      <c r="C985" t="s">
        <v>55</v>
      </c>
      <c r="D985" t="str">
        <f>_xlfn.TEXTBEFORE(Tabla5[[#This Row],[archivo]],"/")</f>
        <v>revolver</v>
      </c>
    </row>
    <row r="986" spans="1:4" x14ac:dyDescent="0.3">
      <c r="A986" t="s">
        <v>3752</v>
      </c>
      <c r="B986" t="s">
        <v>56</v>
      </c>
      <c r="C986" t="s">
        <v>56</v>
      </c>
      <c r="D986" t="str">
        <f>_xlfn.TEXTBEFORE(Tabla5[[#This Row],[archivo]],"/")</f>
        <v>revolver</v>
      </c>
    </row>
    <row r="987" spans="1:4" x14ac:dyDescent="0.3">
      <c r="A987" t="s">
        <v>3753</v>
      </c>
      <c r="B987" t="s">
        <v>59</v>
      </c>
      <c r="C987" t="s">
        <v>59</v>
      </c>
      <c r="D987" t="str">
        <f>_xlfn.TEXTBEFORE(Tabla5[[#This Row],[archivo]],"/")</f>
        <v>revolver</v>
      </c>
    </row>
    <row r="988" spans="1:4" x14ac:dyDescent="0.3">
      <c r="A988" t="s">
        <v>3754</v>
      </c>
      <c r="B988" t="s">
        <v>60</v>
      </c>
      <c r="C988" t="s">
        <v>60</v>
      </c>
      <c r="D988" t="str">
        <f>_xlfn.TEXTBEFORE(Tabla5[[#This Row],[archivo]],"/")</f>
        <v>revolver</v>
      </c>
    </row>
    <row r="989" spans="1:4" x14ac:dyDescent="0.3">
      <c r="A989" t="s">
        <v>3755</v>
      </c>
      <c r="B989" t="s">
        <v>63</v>
      </c>
      <c r="C989" t="s">
        <v>63</v>
      </c>
      <c r="D989" t="str">
        <f>_xlfn.TEXTBEFORE(Tabla5[[#This Row],[archivo]],"/")</f>
        <v>revolver</v>
      </c>
    </row>
    <row r="990" spans="1:4" x14ac:dyDescent="0.3">
      <c r="A990" t="s">
        <v>3756</v>
      </c>
      <c r="B990" t="s">
        <v>1478</v>
      </c>
      <c r="C990" t="s">
        <v>1478</v>
      </c>
      <c r="D990" t="str">
        <f>_xlfn.TEXTBEFORE(Tabla5[[#This Row],[archivo]],"/")</f>
        <v>revolver</v>
      </c>
    </row>
    <row r="991" spans="1:4" x14ac:dyDescent="0.3">
      <c r="A991" t="s">
        <v>3757</v>
      </c>
      <c r="B991" t="s">
        <v>61</v>
      </c>
      <c r="C991" t="s">
        <v>61</v>
      </c>
      <c r="D991" t="str">
        <f>_xlfn.TEXTBEFORE(Tabla5[[#This Row],[archivo]],"/")</f>
        <v>revolver</v>
      </c>
    </row>
    <row r="992" spans="1:4" x14ac:dyDescent="0.3">
      <c r="A992" t="s">
        <v>3758</v>
      </c>
      <c r="B992" t="s">
        <v>62</v>
      </c>
      <c r="C992" t="s">
        <v>62</v>
      </c>
      <c r="D992" t="str">
        <f>_xlfn.TEXTBEFORE(Tabla5[[#This Row],[archivo]],"/")</f>
        <v>revolver</v>
      </c>
    </row>
    <row r="993" spans="1:4" x14ac:dyDescent="0.3">
      <c r="A993" t="s">
        <v>3759</v>
      </c>
      <c r="B993" t="s">
        <v>64</v>
      </c>
      <c r="C993" t="s">
        <v>64</v>
      </c>
      <c r="D993" t="str">
        <f>_xlfn.TEXTBEFORE(Tabla5[[#This Row],[archivo]],"/")</f>
        <v>revolver</v>
      </c>
    </row>
    <row r="994" spans="1:4" x14ac:dyDescent="0.3">
      <c r="A994" t="s">
        <v>3760</v>
      </c>
      <c r="B994" t="s">
        <v>65</v>
      </c>
      <c r="C994" t="s">
        <v>65</v>
      </c>
      <c r="D994" t="str">
        <f>_xlfn.TEXTBEFORE(Tabla5[[#This Row],[archivo]],"/")</f>
        <v>revolver</v>
      </c>
    </row>
    <row r="995" spans="1:4" x14ac:dyDescent="0.3">
      <c r="A995" t="s">
        <v>3761</v>
      </c>
      <c r="B995" t="s">
        <v>66</v>
      </c>
      <c r="C995" t="s">
        <v>66</v>
      </c>
      <c r="D995" t="str">
        <f>_xlfn.TEXTBEFORE(Tabla5[[#This Row],[archivo]],"/")</f>
        <v>revolver</v>
      </c>
    </row>
    <row r="996" spans="1:4" x14ac:dyDescent="0.3">
      <c r="A996" t="s">
        <v>3762</v>
      </c>
      <c r="B996" t="s">
        <v>67</v>
      </c>
      <c r="C996" t="s">
        <v>67</v>
      </c>
      <c r="D996" t="str">
        <f>_xlfn.TEXTBEFORE(Tabla5[[#This Row],[archivo]],"/")</f>
        <v>revolver</v>
      </c>
    </row>
    <row r="997" spans="1:4" x14ac:dyDescent="0.3">
      <c r="A997" t="s">
        <v>3763</v>
      </c>
      <c r="B997" t="s">
        <v>68</v>
      </c>
      <c r="C997" t="s">
        <v>68</v>
      </c>
      <c r="D997" t="str">
        <f>_xlfn.TEXTBEFORE(Tabla5[[#This Row],[archivo]],"/")</f>
        <v>revolver</v>
      </c>
    </row>
    <row r="998" spans="1:4" x14ac:dyDescent="0.3">
      <c r="A998" t="s">
        <v>3764</v>
      </c>
      <c r="B998" t="s">
        <v>69</v>
      </c>
      <c r="C998" t="s">
        <v>69</v>
      </c>
      <c r="D998" t="str">
        <f>_xlfn.TEXTBEFORE(Tabla5[[#This Row],[archivo]],"/")</f>
        <v>revolver</v>
      </c>
    </row>
    <row r="999" spans="1:4" x14ac:dyDescent="0.3">
      <c r="A999" t="s">
        <v>3765</v>
      </c>
      <c r="B999" t="s">
        <v>70</v>
      </c>
      <c r="C999" t="s">
        <v>70</v>
      </c>
      <c r="D999" t="str">
        <f>_xlfn.TEXTBEFORE(Tabla5[[#This Row],[archivo]],"/")</f>
        <v>revolver</v>
      </c>
    </row>
    <row r="1000" spans="1:4" x14ac:dyDescent="0.3">
      <c r="A1000" t="s">
        <v>3766</v>
      </c>
      <c r="B1000" t="s">
        <v>2762</v>
      </c>
      <c r="C1000" t="s">
        <v>2762</v>
      </c>
      <c r="D1000" t="str">
        <f>_xlfn.TEXTBEFORE(Tabla5[[#This Row],[archivo]],"/")</f>
        <v>revolver</v>
      </c>
    </row>
    <row r="1001" spans="1:4" x14ac:dyDescent="0.3">
      <c r="A1001" t="s">
        <v>3767</v>
      </c>
      <c r="B1001" t="s">
        <v>71</v>
      </c>
      <c r="C1001" t="s">
        <v>71</v>
      </c>
      <c r="D1001" t="str">
        <f>_xlfn.TEXTBEFORE(Tabla5[[#This Row],[archivo]],"/")</f>
        <v>revolver</v>
      </c>
    </row>
    <row r="1002" spans="1:4" x14ac:dyDescent="0.3">
      <c r="A1002" t="s">
        <v>3768</v>
      </c>
      <c r="B1002" t="s">
        <v>72</v>
      </c>
      <c r="C1002" t="s">
        <v>72</v>
      </c>
      <c r="D1002" t="str">
        <f>_xlfn.TEXTBEFORE(Tabla5[[#This Row],[archivo]],"/")</f>
        <v>revolver</v>
      </c>
    </row>
    <row r="1003" spans="1:4" x14ac:dyDescent="0.3">
      <c r="A1003" t="s">
        <v>3769</v>
      </c>
      <c r="B1003" t="s">
        <v>73</v>
      </c>
      <c r="C1003" t="s">
        <v>73</v>
      </c>
      <c r="D1003" t="str">
        <f>_xlfn.TEXTBEFORE(Tabla5[[#This Row],[archivo]],"/")</f>
        <v>revolver</v>
      </c>
    </row>
    <row r="1004" spans="1:4" x14ac:dyDescent="0.3">
      <c r="A1004" t="s">
        <v>3770</v>
      </c>
      <c r="B1004" t="s">
        <v>2763</v>
      </c>
      <c r="C1004" t="s">
        <v>2763</v>
      </c>
      <c r="D1004" t="str">
        <f>_xlfn.TEXTBEFORE(Tabla5[[#This Row],[archivo]],"/")</f>
        <v>revolver</v>
      </c>
    </row>
    <row r="1005" spans="1:4" x14ac:dyDescent="0.3">
      <c r="A1005" t="s">
        <v>3771</v>
      </c>
      <c r="B1005" t="s">
        <v>74</v>
      </c>
      <c r="C1005" t="s">
        <v>74</v>
      </c>
      <c r="D1005" t="str">
        <f>_xlfn.TEXTBEFORE(Tabla5[[#This Row],[archivo]],"/")</f>
        <v>revolver</v>
      </c>
    </row>
    <row r="1006" spans="1:4" x14ac:dyDescent="0.3">
      <c r="A1006" t="s">
        <v>3772</v>
      </c>
      <c r="B1006" t="s">
        <v>75</v>
      </c>
      <c r="C1006" t="s">
        <v>75</v>
      </c>
      <c r="D1006" t="str">
        <f>_xlfn.TEXTBEFORE(Tabla5[[#This Row],[archivo]],"/")</f>
        <v>revolver</v>
      </c>
    </row>
    <row r="1007" spans="1:4" x14ac:dyDescent="0.3">
      <c r="A1007" t="s">
        <v>3773</v>
      </c>
      <c r="B1007" t="s">
        <v>1232</v>
      </c>
      <c r="C1007" t="s">
        <v>1232</v>
      </c>
      <c r="D1007" t="str">
        <f>_xlfn.TEXTBEFORE(Tabla5[[#This Row],[archivo]],"/")</f>
        <v>revolver</v>
      </c>
    </row>
    <row r="1008" spans="1:4" x14ac:dyDescent="0.3">
      <c r="A1008" t="s">
        <v>3774</v>
      </c>
      <c r="B1008" t="s">
        <v>76</v>
      </c>
      <c r="C1008" t="s">
        <v>76</v>
      </c>
      <c r="D1008" t="str">
        <f>_xlfn.TEXTBEFORE(Tabla5[[#This Row],[archivo]],"/")</f>
        <v>revolver</v>
      </c>
    </row>
    <row r="1009" spans="1:4" x14ac:dyDescent="0.3">
      <c r="A1009" t="s">
        <v>3775</v>
      </c>
      <c r="B1009" t="s">
        <v>77</v>
      </c>
      <c r="C1009" t="s">
        <v>77</v>
      </c>
      <c r="D1009" t="str">
        <f>_xlfn.TEXTBEFORE(Tabla5[[#This Row],[archivo]],"/")</f>
        <v>revolver</v>
      </c>
    </row>
    <row r="1010" spans="1:4" x14ac:dyDescent="0.3">
      <c r="A1010" t="s">
        <v>3776</v>
      </c>
      <c r="B1010" t="s">
        <v>78</v>
      </c>
      <c r="C1010" t="s">
        <v>78</v>
      </c>
      <c r="D1010" t="str">
        <f>_xlfn.TEXTBEFORE(Tabla5[[#This Row],[archivo]],"/")</f>
        <v>revolver</v>
      </c>
    </row>
    <row r="1011" spans="1:4" x14ac:dyDescent="0.3">
      <c r="A1011" t="s">
        <v>3777</v>
      </c>
      <c r="B1011" t="s">
        <v>79</v>
      </c>
      <c r="C1011" t="s">
        <v>79</v>
      </c>
      <c r="D1011" t="str">
        <f>_xlfn.TEXTBEFORE(Tabla5[[#This Row],[archivo]],"/")</f>
        <v>revolver</v>
      </c>
    </row>
    <row r="1012" spans="1:4" x14ac:dyDescent="0.3">
      <c r="A1012" t="s">
        <v>3778</v>
      </c>
      <c r="B1012" t="s">
        <v>80</v>
      </c>
      <c r="C1012" t="s">
        <v>80</v>
      </c>
      <c r="D1012" t="str">
        <f>_xlfn.TEXTBEFORE(Tabla5[[#This Row],[archivo]],"/")</f>
        <v>revolver</v>
      </c>
    </row>
    <row r="1013" spans="1:4" x14ac:dyDescent="0.3">
      <c r="A1013" t="s">
        <v>3779</v>
      </c>
      <c r="B1013" t="s">
        <v>1233</v>
      </c>
      <c r="C1013" t="s">
        <v>1233</v>
      </c>
      <c r="D1013" t="str">
        <f>_xlfn.TEXTBEFORE(Tabla5[[#This Row],[archivo]],"/")</f>
        <v>revolver</v>
      </c>
    </row>
    <row r="1014" spans="1:4" x14ac:dyDescent="0.3">
      <c r="A1014" t="s">
        <v>3780</v>
      </c>
      <c r="B1014" t="s">
        <v>2764</v>
      </c>
      <c r="C1014" t="s">
        <v>2764</v>
      </c>
      <c r="D1014" t="str">
        <f>_xlfn.TEXTBEFORE(Tabla5[[#This Row],[archivo]],"/")</f>
        <v>revolver</v>
      </c>
    </row>
    <row r="1015" spans="1:4" x14ac:dyDescent="0.3">
      <c r="A1015" t="s">
        <v>3781</v>
      </c>
      <c r="B1015" t="s">
        <v>81</v>
      </c>
      <c r="C1015" t="s">
        <v>81</v>
      </c>
      <c r="D1015" t="str">
        <f>_xlfn.TEXTBEFORE(Tabla5[[#This Row],[archivo]],"/")</f>
        <v>revolver</v>
      </c>
    </row>
    <row r="1016" spans="1:4" x14ac:dyDescent="0.3">
      <c r="A1016" t="s">
        <v>3782</v>
      </c>
      <c r="B1016" t="s">
        <v>82</v>
      </c>
      <c r="C1016" t="s">
        <v>82</v>
      </c>
      <c r="D1016" t="str">
        <f>_xlfn.TEXTBEFORE(Tabla5[[#This Row],[archivo]],"/")</f>
        <v>revolver</v>
      </c>
    </row>
    <row r="1017" spans="1:4" x14ac:dyDescent="0.3">
      <c r="A1017" t="s">
        <v>3783</v>
      </c>
      <c r="B1017" t="s">
        <v>83</v>
      </c>
      <c r="C1017" t="s">
        <v>83</v>
      </c>
      <c r="D1017" t="str">
        <f>_xlfn.TEXTBEFORE(Tabla5[[#This Row],[archivo]],"/")</f>
        <v>revolver</v>
      </c>
    </row>
    <row r="1018" spans="1:4" x14ac:dyDescent="0.3">
      <c r="A1018" t="s">
        <v>3784</v>
      </c>
      <c r="B1018" t="s">
        <v>84</v>
      </c>
      <c r="C1018" t="s">
        <v>84</v>
      </c>
      <c r="D1018" t="str">
        <f>_xlfn.TEXTBEFORE(Tabla5[[#This Row],[archivo]],"/")</f>
        <v>revolver</v>
      </c>
    </row>
    <row r="1019" spans="1:4" x14ac:dyDescent="0.3">
      <c r="A1019" t="s">
        <v>3785</v>
      </c>
      <c r="B1019" t="s">
        <v>85</v>
      </c>
      <c r="C1019" t="s">
        <v>85</v>
      </c>
      <c r="D1019" t="str">
        <f>_xlfn.TEXTBEFORE(Tabla5[[#This Row],[archivo]],"/")</f>
        <v>revolver</v>
      </c>
    </row>
    <row r="1020" spans="1:4" x14ac:dyDescent="0.3">
      <c r="A1020" t="s">
        <v>3786</v>
      </c>
      <c r="B1020" t="s">
        <v>86</v>
      </c>
      <c r="C1020" t="s">
        <v>86</v>
      </c>
      <c r="D1020" t="str">
        <f>_xlfn.TEXTBEFORE(Tabla5[[#This Row],[archivo]],"/")</f>
        <v>revolver</v>
      </c>
    </row>
    <row r="1021" spans="1:4" x14ac:dyDescent="0.3">
      <c r="A1021" t="s">
        <v>3787</v>
      </c>
      <c r="B1021" t="s">
        <v>299</v>
      </c>
      <c r="C1021" t="s">
        <v>299</v>
      </c>
      <c r="D1021" t="str">
        <f>_xlfn.TEXTBEFORE(Tabla5[[#This Row],[archivo]],"/")</f>
        <v>revolver</v>
      </c>
    </row>
    <row r="1022" spans="1:4" x14ac:dyDescent="0.3">
      <c r="A1022" t="s">
        <v>3788</v>
      </c>
      <c r="B1022" t="s">
        <v>87</v>
      </c>
      <c r="C1022" t="s">
        <v>87</v>
      </c>
      <c r="D1022" t="str">
        <f>_xlfn.TEXTBEFORE(Tabla5[[#This Row],[archivo]],"/")</f>
        <v>revolver</v>
      </c>
    </row>
    <row r="1023" spans="1:4" x14ac:dyDescent="0.3">
      <c r="A1023" t="s">
        <v>3789</v>
      </c>
      <c r="B1023" t="s">
        <v>88</v>
      </c>
      <c r="C1023" t="s">
        <v>88</v>
      </c>
      <c r="D1023" t="str">
        <f>_xlfn.TEXTBEFORE(Tabla5[[#This Row],[archivo]],"/")</f>
        <v>revolver</v>
      </c>
    </row>
    <row r="1024" spans="1:4" x14ac:dyDescent="0.3">
      <c r="A1024" t="s">
        <v>3790</v>
      </c>
      <c r="B1024" t="s">
        <v>89</v>
      </c>
      <c r="C1024" t="s">
        <v>89</v>
      </c>
      <c r="D1024" t="str">
        <f>_xlfn.TEXTBEFORE(Tabla5[[#This Row],[archivo]],"/")</f>
        <v>revolver</v>
      </c>
    </row>
    <row r="1025" spans="1:4" x14ac:dyDescent="0.3">
      <c r="A1025" t="s">
        <v>3791</v>
      </c>
      <c r="B1025" t="s">
        <v>90</v>
      </c>
      <c r="C1025" t="s">
        <v>90</v>
      </c>
      <c r="D1025" t="str">
        <f>_xlfn.TEXTBEFORE(Tabla5[[#This Row],[archivo]],"/")</f>
        <v>revolver</v>
      </c>
    </row>
    <row r="1026" spans="1:4" x14ac:dyDescent="0.3">
      <c r="A1026" t="s">
        <v>3792</v>
      </c>
      <c r="B1026" t="s">
        <v>123</v>
      </c>
      <c r="C1026" t="s">
        <v>123</v>
      </c>
      <c r="D1026" t="str">
        <f>_xlfn.TEXTBEFORE(Tabla5[[#This Row],[archivo]],"/")</f>
        <v>revolver</v>
      </c>
    </row>
    <row r="1027" spans="1:4" x14ac:dyDescent="0.3">
      <c r="A1027" t="s">
        <v>3793</v>
      </c>
      <c r="B1027" t="s">
        <v>302</v>
      </c>
      <c r="C1027" t="s">
        <v>302</v>
      </c>
      <c r="D1027" t="str">
        <f>_xlfn.TEXTBEFORE(Tabla5[[#This Row],[archivo]],"/")</f>
        <v>revolver</v>
      </c>
    </row>
    <row r="1028" spans="1:4" x14ac:dyDescent="0.3">
      <c r="A1028" t="s">
        <v>3794</v>
      </c>
      <c r="B1028" t="s">
        <v>91</v>
      </c>
      <c r="C1028" t="s">
        <v>91</v>
      </c>
      <c r="D1028" t="str">
        <f>_xlfn.TEXTBEFORE(Tabla5[[#This Row],[archivo]],"/")</f>
        <v>revolver</v>
      </c>
    </row>
    <row r="1029" spans="1:4" x14ac:dyDescent="0.3">
      <c r="A1029" t="s">
        <v>3795</v>
      </c>
      <c r="B1029" t="s">
        <v>92</v>
      </c>
      <c r="C1029" t="s">
        <v>92</v>
      </c>
      <c r="D1029" t="str">
        <f>_xlfn.TEXTBEFORE(Tabla5[[#This Row],[archivo]],"/")</f>
        <v>revolver</v>
      </c>
    </row>
    <row r="1030" spans="1:4" x14ac:dyDescent="0.3">
      <c r="A1030" t="s">
        <v>3796</v>
      </c>
      <c r="B1030" t="s">
        <v>95</v>
      </c>
      <c r="C1030" t="s">
        <v>95</v>
      </c>
      <c r="D1030" t="str">
        <f>_xlfn.TEXTBEFORE(Tabla5[[#This Row],[archivo]],"/")</f>
        <v>revolver</v>
      </c>
    </row>
    <row r="1031" spans="1:4" x14ac:dyDescent="0.3">
      <c r="A1031" t="s">
        <v>3797</v>
      </c>
      <c r="B1031" t="s">
        <v>93</v>
      </c>
      <c r="C1031" t="s">
        <v>93</v>
      </c>
      <c r="D1031" t="str">
        <f>_xlfn.TEXTBEFORE(Tabla5[[#This Row],[archivo]],"/")</f>
        <v>revolver</v>
      </c>
    </row>
    <row r="1032" spans="1:4" x14ac:dyDescent="0.3">
      <c r="A1032" t="s">
        <v>3798</v>
      </c>
      <c r="B1032" t="s">
        <v>94</v>
      </c>
      <c r="C1032" t="s">
        <v>94</v>
      </c>
      <c r="D1032" t="str">
        <f>_xlfn.TEXTBEFORE(Tabla5[[#This Row],[archivo]],"/")</f>
        <v>revolver</v>
      </c>
    </row>
    <row r="1033" spans="1:4" x14ac:dyDescent="0.3">
      <c r="A1033" t="s">
        <v>3799</v>
      </c>
      <c r="B1033" t="s">
        <v>96</v>
      </c>
      <c r="C1033" t="s">
        <v>96</v>
      </c>
      <c r="D1033" t="str">
        <f>_xlfn.TEXTBEFORE(Tabla5[[#This Row],[archivo]],"/")</f>
        <v>revolver</v>
      </c>
    </row>
    <row r="1034" spans="1:4" x14ac:dyDescent="0.3">
      <c r="A1034" t="s">
        <v>3800</v>
      </c>
      <c r="B1034" t="s">
        <v>100</v>
      </c>
      <c r="C1034" t="s">
        <v>100</v>
      </c>
      <c r="D1034" t="str">
        <f>_xlfn.TEXTBEFORE(Tabla5[[#This Row],[archivo]],"/")</f>
        <v>revolver</v>
      </c>
    </row>
    <row r="1035" spans="1:4" x14ac:dyDescent="0.3">
      <c r="A1035" t="s">
        <v>3801</v>
      </c>
      <c r="B1035" t="s">
        <v>97</v>
      </c>
      <c r="C1035" t="s">
        <v>97</v>
      </c>
      <c r="D1035" t="str">
        <f>_xlfn.TEXTBEFORE(Tabla5[[#This Row],[archivo]],"/")</f>
        <v>revolver</v>
      </c>
    </row>
    <row r="1036" spans="1:4" x14ac:dyDescent="0.3">
      <c r="A1036" t="s">
        <v>3802</v>
      </c>
      <c r="B1036" t="s">
        <v>98</v>
      </c>
      <c r="C1036" t="s">
        <v>98</v>
      </c>
      <c r="D1036" t="str">
        <f>_xlfn.TEXTBEFORE(Tabla5[[#This Row],[archivo]],"/")</f>
        <v>revolver</v>
      </c>
    </row>
    <row r="1037" spans="1:4" x14ac:dyDescent="0.3">
      <c r="A1037" t="s">
        <v>3803</v>
      </c>
      <c r="B1037" t="s">
        <v>99</v>
      </c>
      <c r="C1037" t="s">
        <v>99</v>
      </c>
      <c r="D1037" t="str">
        <f>_xlfn.TEXTBEFORE(Tabla5[[#This Row],[archivo]],"/")</f>
        <v>revolver</v>
      </c>
    </row>
    <row r="1038" spans="1:4" x14ac:dyDescent="0.3">
      <c r="A1038" t="s">
        <v>3804</v>
      </c>
      <c r="B1038" t="s">
        <v>101</v>
      </c>
      <c r="C1038" t="s">
        <v>101</v>
      </c>
      <c r="D1038" t="str">
        <f>_xlfn.TEXTBEFORE(Tabla5[[#This Row],[archivo]],"/")</f>
        <v>revolver</v>
      </c>
    </row>
    <row r="1039" spans="1:4" x14ac:dyDescent="0.3">
      <c r="A1039" t="s">
        <v>3805</v>
      </c>
      <c r="B1039" t="s">
        <v>102</v>
      </c>
      <c r="C1039" t="s">
        <v>102</v>
      </c>
      <c r="D1039" t="str">
        <f>_xlfn.TEXTBEFORE(Tabla5[[#This Row],[archivo]],"/")</f>
        <v>revolver</v>
      </c>
    </row>
    <row r="1040" spans="1:4" x14ac:dyDescent="0.3">
      <c r="A1040" t="s">
        <v>3806</v>
      </c>
      <c r="B1040" t="s">
        <v>104</v>
      </c>
      <c r="C1040" t="s">
        <v>104</v>
      </c>
      <c r="D1040" t="str">
        <f>_xlfn.TEXTBEFORE(Tabla5[[#This Row],[archivo]],"/")</f>
        <v>revolver</v>
      </c>
    </row>
    <row r="1041" spans="1:4" x14ac:dyDescent="0.3">
      <c r="A1041" t="s">
        <v>3807</v>
      </c>
      <c r="B1041" t="s">
        <v>106</v>
      </c>
      <c r="C1041" t="s">
        <v>106</v>
      </c>
      <c r="D1041" t="str">
        <f>_xlfn.TEXTBEFORE(Tabla5[[#This Row],[archivo]],"/")</f>
        <v>revolver</v>
      </c>
    </row>
    <row r="1042" spans="1:4" x14ac:dyDescent="0.3">
      <c r="A1042" t="s">
        <v>3808</v>
      </c>
      <c r="B1042" t="s">
        <v>105</v>
      </c>
      <c r="C1042" t="s">
        <v>105</v>
      </c>
      <c r="D1042" t="str">
        <f>_xlfn.TEXTBEFORE(Tabla5[[#This Row],[archivo]],"/")</f>
        <v>revolver</v>
      </c>
    </row>
    <row r="1043" spans="1:4" x14ac:dyDescent="0.3">
      <c r="A1043" t="s">
        <v>3809</v>
      </c>
      <c r="B1043" t="s">
        <v>103</v>
      </c>
      <c r="C1043" t="s">
        <v>103</v>
      </c>
      <c r="D1043" t="str">
        <f>_xlfn.TEXTBEFORE(Tabla5[[#This Row],[archivo]],"/")</f>
        <v>revolver</v>
      </c>
    </row>
    <row r="1044" spans="1:4" x14ac:dyDescent="0.3">
      <c r="A1044" t="s">
        <v>3810</v>
      </c>
      <c r="B1044" t="s">
        <v>107</v>
      </c>
      <c r="C1044" t="s">
        <v>107</v>
      </c>
      <c r="D1044" t="str">
        <f>_xlfn.TEXTBEFORE(Tabla5[[#This Row],[archivo]],"/")</f>
        <v>revolver</v>
      </c>
    </row>
    <row r="1045" spans="1:4" x14ac:dyDescent="0.3">
      <c r="A1045" t="s">
        <v>3811</v>
      </c>
      <c r="B1045" t="s">
        <v>108</v>
      </c>
      <c r="C1045" t="s">
        <v>108</v>
      </c>
      <c r="D1045" t="str">
        <f>_xlfn.TEXTBEFORE(Tabla5[[#This Row],[archivo]],"/")</f>
        <v>revolver</v>
      </c>
    </row>
    <row r="1046" spans="1:4" x14ac:dyDescent="0.3">
      <c r="A1046" t="s">
        <v>3812</v>
      </c>
      <c r="B1046" t="s">
        <v>111</v>
      </c>
      <c r="C1046" t="s">
        <v>111</v>
      </c>
      <c r="D1046" t="str">
        <f>_xlfn.TEXTBEFORE(Tabla5[[#This Row],[archivo]],"/")</f>
        <v>revolver</v>
      </c>
    </row>
    <row r="1047" spans="1:4" x14ac:dyDescent="0.3">
      <c r="A1047" t="s">
        <v>3813</v>
      </c>
      <c r="B1047" t="s">
        <v>109</v>
      </c>
      <c r="C1047" t="s">
        <v>109</v>
      </c>
      <c r="D1047" t="str">
        <f>_xlfn.TEXTBEFORE(Tabla5[[#This Row],[archivo]],"/")</f>
        <v>revolver</v>
      </c>
    </row>
    <row r="1048" spans="1:4" x14ac:dyDescent="0.3">
      <c r="A1048" t="s">
        <v>3814</v>
      </c>
      <c r="B1048" t="s">
        <v>1480</v>
      </c>
      <c r="C1048" t="s">
        <v>1480</v>
      </c>
      <c r="D1048" t="str">
        <f>_xlfn.TEXTBEFORE(Tabla5[[#This Row],[archivo]],"/")</f>
        <v>revolver</v>
      </c>
    </row>
    <row r="1049" spans="1:4" x14ac:dyDescent="0.3">
      <c r="A1049" t="s">
        <v>3815</v>
      </c>
      <c r="B1049" t="s">
        <v>110</v>
      </c>
      <c r="C1049" t="s">
        <v>110</v>
      </c>
      <c r="D1049" t="str">
        <f>_xlfn.TEXTBEFORE(Tabla5[[#This Row],[archivo]],"/")</f>
        <v>revolver</v>
      </c>
    </row>
    <row r="1050" spans="1:4" x14ac:dyDescent="0.3">
      <c r="A1050" t="s">
        <v>3816</v>
      </c>
      <c r="B1050" t="s">
        <v>1481</v>
      </c>
      <c r="C1050" t="s">
        <v>1481</v>
      </c>
      <c r="D1050" t="str">
        <f>_xlfn.TEXTBEFORE(Tabla5[[#This Row],[archivo]],"/")</f>
        <v>revolver</v>
      </c>
    </row>
    <row r="1051" spans="1:4" x14ac:dyDescent="0.3">
      <c r="A1051" t="s">
        <v>3817</v>
      </c>
      <c r="B1051" t="s">
        <v>112</v>
      </c>
      <c r="C1051" t="s">
        <v>112</v>
      </c>
      <c r="D1051" t="str">
        <f>_xlfn.TEXTBEFORE(Tabla5[[#This Row],[archivo]],"/")</f>
        <v>revolver</v>
      </c>
    </row>
    <row r="1052" spans="1:4" x14ac:dyDescent="0.3">
      <c r="A1052" t="s">
        <v>3818</v>
      </c>
      <c r="B1052" t="s">
        <v>113</v>
      </c>
      <c r="C1052" t="s">
        <v>113</v>
      </c>
      <c r="D1052" t="str">
        <f>_xlfn.TEXTBEFORE(Tabla5[[#This Row],[archivo]],"/")</f>
        <v>revolver</v>
      </c>
    </row>
    <row r="1053" spans="1:4" x14ac:dyDescent="0.3">
      <c r="A1053" t="s">
        <v>3819</v>
      </c>
      <c r="B1053" t="s">
        <v>114</v>
      </c>
      <c r="C1053" t="s">
        <v>114</v>
      </c>
      <c r="D1053" t="str">
        <f>_xlfn.TEXTBEFORE(Tabla5[[#This Row],[archivo]],"/")</f>
        <v>revolver</v>
      </c>
    </row>
    <row r="1054" spans="1:4" x14ac:dyDescent="0.3">
      <c r="A1054" t="s">
        <v>3820</v>
      </c>
      <c r="B1054" t="s">
        <v>115</v>
      </c>
      <c r="C1054" t="s">
        <v>115</v>
      </c>
      <c r="D1054" t="str">
        <f>_xlfn.TEXTBEFORE(Tabla5[[#This Row],[archivo]],"/")</f>
        <v>revolver</v>
      </c>
    </row>
    <row r="1055" spans="1:4" x14ac:dyDescent="0.3">
      <c r="A1055" t="s">
        <v>3821</v>
      </c>
      <c r="B1055" t="s">
        <v>116</v>
      </c>
      <c r="C1055" t="s">
        <v>116</v>
      </c>
      <c r="D1055" t="str">
        <f>_xlfn.TEXTBEFORE(Tabla5[[#This Row],[archivo]],"/")</f>
        <v>revolver</v>
      </c>
    </row>
    <row r="1056" spans="1:4" x14ac:dyDescent="0.3">
      <c r="A1056" t="s">
        <v>3822</v>
      </c>
      <c r="B1056" t="s">
        <v>117</v>
      </c>
      <c r="C1056" t="s">
        <v>117</v>
      </c>
      <c r="D1056" t="str">
        <f>_xlfn.TEXTBEFORE(Tabla5[[#This Row],[archivo]],"/")</f>
        <v>revolver</v>
      </c>
    </row>
    <row r="1057" spans="1:4" x14ac:dyDescent="0.3">
      <c r="A1057" t="s">
        <v>3823</v>
      </c>
      <c r="B1057" t="s">
        <v>118</v>
      </c>
      <c r="C1057" t="s">
        <v>118</v>
      </c>
      <c r="D1057" t="str">
        <f>_xlfn.TEXTBEFORE(Tabla5[[#This Row],[archivo]],"/")</f>
        <v>revolver</v>
      </c>
    </row>
    <row r="1058" spans="1:4" x14ac:dyDescent="0.3">
      <c r="A1058" t="s">
        <v>3824</v>
      </c>
      <c r="B1058" t="s">
        <v>119</v>
      </c>
      <c r="C1058" t="s">
        <v>119</v>
      </c>
      <c r="D1058" t="str">
        <f>_xlfn.TEXTBEFORE(Tabla5[[#This Row],[archivo]],"/")</f>
        <v>revolver</v>
      </c>
    </row>
    <row r="1059" spans="1:4" x14ac:dyDescent="0.3">
      <c r="A1059" t="s">
        <v>3825</v>
      </c>
      <c r="B1059" t="s">
        <v>122</v>
      </c>
      <c r="C1059" t="s">
        <v>122</v>
      </c>
      <c r="D1059" t="str">
        <f>_xlfn.TEXTBEFORE(Tabla5[[#This Row],[archivo]],"/")</f>
        <v>revolver</v>
      </c>
    </row>
    <row r="1060" spans="1:4" x14ac:dyDescent="0.3">
      <c r="A1060" t="s">
        <v>3826</v>
      </c>
      <c r="B1060" t="s">
        <v>2765</v>
      </c>
      <c r="C1060" t="s">
        <v>2765</v>
      </c>
      <c r="D1060" t="str">
        <f>_xlfn.TEXTBEFORE(Tabla5[[#This Row],[archivo]],"/")</f>
        <v>revolver</v>
      </c>
    </row>
    <row r="1061" spans="1:4" x14ac:dyDescent="0.3">
      <c r="A1061" t="s">
        <v>3827</v>
      </c>
      <c r="B1061" t="s">
        <v>120</v>
      </c>
      <c r="C1061" t="s">
        <v>120</v>
      </c>
      <c r="D1061" t="str">
        <f>_xlfn.TEXTBEFORE(Tabla5[[#This Row],[archivo]],"/")</f>
        <v>revolver</v>
      </c>
    </row>
    <row r="1062" spans="1:4" x14ac:dyDescent="0.3">
      <c r="A1062" t="s">
        <v>3828</v>
      </c>
      <c r="B1062" t="s">
        <v>121</v>
      </c>
      <c r="C1062" t="s">
        <v>121</v>
      </c>
      <c r="D1062" t="str">
        <f>_xlfn.TEXTBEFORE(Tabla5[[#This Row],[archivo]],"/")</f>
        <v>revolver</v>
      </c>
    </row>
    <row r="1063" spans="1:4" x14ac:dyDescent="0.3">
      <c r="A1063" t="s">
        <v>3829</v>
      </c>
      <c r="B1063" t="s">
        <v>2330</v>
      </c>
      <c r="C1063" t="s">
        <v>2330</v>
      </c>
      <c r="D1063" t="str">
        <f>_xlfn.TEXTBEFORE(Tabla5[[#This Row],[archivo]],"/")</f>
        <v>sidecars</v>
      </c>
    </row>
    <row r="1064" spans="1:4" x14ac:dyDescent="0.3">
      <c r="A1064" t="s">
        <v>3830</v>
      </c>
      <c r="B1064" t="s">
        <v>126</v>
      </c>
      <c r="C1064" t="s">
        <v>126</v>
      </c>
      <c r="D1064" t="str">
        <f>_xlfn.TEXTBEFORE(Tabla5[[#This Row],[archivo]],"/")</f>
        <v>sidecars</v>
      </c>
    </row>
    <row r="1065" spans="1:4" x14ac:dyDescent="0.3">
      <c r="A1065" t="s">
        <v>3831</v>
      </c>
      <c r="B1065" t="s">
        <v>1393</v>
      </c>
      <c r="C1065" t="s">
        <v>1393</v>
      </c>
      <c r="D1065" t="str">
        <f>_xlfn.TEXTBEFORE(Tabla5[[#This Row],[archivo]],"/")</f>
        <v>sidecars</v>
      </c>
    </row>
    <row r="1066" spans="1:4" x14ac:dyDescent="0.3">
      <c r="A1066" t="s">
        <v>3832</v>
      </c>
      <c r="B1066" t="s">
        <v>1375</v>
      </c>
      <c r="C1066" t="s">
        <v>1375</v>
      </c>
      <c r="D1066" t="str">
        <f>_xlfn.TEXTBEFORE(Tabla5[[#This Row],[archivo]],"/")</f>
        <v>sidecars</v>
      </c>
    </row>
    <row r="1067" spans="1:4" x14ac:dyDescent="0.3">
      <c r="A1067" t="s">
        <v>3833</v>
      </c>
      <c r="B1067" t="s">
        <v>1366</v>
      </c>
      <c r="C1067" t="s">
        <v>1366</v>
      </c>
      <c r="D1067" t="str">
        <f>_xlfn.TEXTBEFORE(Tabla5[[#This Row],[archivo]],"/")</f>
        <v>sidecars</v>
      </c>
    </row>
    <row r="1068" spans="1:4" x14ac:dyDescent="0.3">
      <c r="A1068" t="s">
        <v>3834</v>
      </c>
      <c r="B1068" t="s">
        <v>2395</v>
      </c>
      <c r="C1068" t="s">
        <v>2395</v>
      </c>
      <c r="D1068" t="str">
        <f>_xlfn.TEXTBEFORE(Tabla5[[#This Row],[archivo]],"/")</f>
        <v>sidecars</v>
      </c>
    </row>
    <row r="1069" spans="1:4" x14ac:dyDescent="0.3">
      <c r="A1069" t="s">
        <v>3835</v>
      </c>
      <c r="B1069" t="s">
        <v>1550</v>
      </c>
      <c r="C1069" t="s">
        <v>1550</v>
      </c>
      <c r="D1069" t="str">
        <f>_xlfn.TEXTBEFORE(Tabla5[[#This Row],[archivo]],"/")</f>
        <v>sidecars</v>
      </c>
    </row>
    <row r="1070" spans="1:4" x14ac:dyDescent="0.3">
      <c r="A1070" t="s">
        <v>3836</v>
      </c>
      <c r="B1070" t="s">
        <v>2394</v>
      </c>
      <c r="C1070" t="s">
        <v>2394</v>
      </c>
      <c r="D1070" t="str">
        <f>_xlfn.TEXTBEFORE(Tabla5[[#This Row],[archivo]],"/")</f>
        <v>sidecars</v>
      </c>
    </row>
    <row r="1071" spans="1:4" x14ac:dyDescent="0.3">
      <c r="A1071" t="s">
        <v>3837</v>
      </c>
      <c r="B1071" t="s">
        <v>1396</v>
      </c>
      <c r="C1071" t="s">
        <v>1396</v>
      </c>
      <c r="D1071" t="str">
        <f>_xlfn.TEXTBEFORE(Tabla5[[#This Row],[archivo]],"/")</f>
        <v>sidecars</v>
      </c>
    </row>
    <row r="1072" spans="1:4" x14ac:dyDescent="0.3">
      <c r="A1072" t="s">
        <v>3838</v>
      </c>
      <c r="B1072" t="s">
        <v>1361</v>
      </c>
      <c r="C1072" t="s">
        <v>1361</v>
      </c>
      <c r="D1072" t="str">
        <f>_xlfn.TEXTBEFORE(Tabla5[[#This Row],[archivo]],"/")</f>
        <v>sidecars</v>
      </c>
    </row>
    <row r="1073" spans="1:4" x14ac:dyDescent="0.3">
      <c r="A1073" t="s">
        <v>3839</v>
      </c>
      <c r="B1073" t="s">
        <v>1360</v>
      </c>
      <c r="C1073" t="s">
        <v>1360</v>
      </c>
      <c r="D1073" t="str">
        <f>_xlfn.TEXTBEFORE(Tabla5[[#This Row],[archivo]],"/")</f>
        <v>sidecars</v>
      </c>
    </row>
    <row r="1074" spans="1:4" x14ac:dyDescent="0.3">
      <c r="A1074" t="s">
        <v>3840</v>
      </c>
      <c r="B1074" t="s">
        <v>1364</v>
      </c>
      <c r="C1074" t="s">
        <v>1364</v>
      </c>
      <c r="D1074" t="str">
        <f>_xlfn.TEXTBEFORE(Tabla5[[#This Row],[archivo]],"/")</f>
        <v>sidecars</v>
      </c>
    </row>
    <row r="1075" spans="1:4" x14ac:dyDescent="0.3">
      <c r="A1075" t="s">
        <v>3841</v>
      </c>
      <c r="B1075" t="s">
        <v>1359</v>
      </c>
      <c r="C1075" t="s">
        <v>1359</v>
      </c>
      <c r="D1075" t="str">
        <f>_xlfn.TEXTBEFORE(Tabla5[[#This Row],[archivo]],"/")</f>
        <v>sidecars</v>
      </c>
    </row>
    <row r="1076" spans="1:4" x14ac:dyDescent="0.3">
      <c r="A1076" t="s">
        <v>3842</v>
      </c>
      <c r="B1076" t="s">
        <v>1402</v>
      </c>
      <c r="C1076" t="s">
        <v>1402</v>
      </c>
      <c r="D1076" t="str">
        <f>_xlfn.TEXTBEFORE(Tabla5[[#This Row],[archivo]],"/")</f>
        <v>sidecars</v>
      </c>
    </row>
    <row r="1077" spans="1:4" x14ac:dyDescent="0.3">
      <c r="A1077" t="s">
        <v>3843</v>
      </c>
      <c r="B1077" t="s">
        <v>1380</v>
      </c>
      <c r="C1077" t="s">
        <v>1380</v>
      </c>
      <c r="D1077" t="str">
        <f>_xlfn.TEXTBEFORE(Tabla5[[#This Row],[archivo]],"/")</f>
        <v>sidecars</v>
      </c>
    </row>
    <row r="1078" spans="1:4" x14ac:dyDescent="0.3">
      <c r="A1078" t="s">
        <v>3844</v>
      </c>
      <c r="B1078" t="s">
        <v>2766</v>
      </c>
      <c r="C1078" t="s">
        <v>2766</v>
      </c>
      <c r="D1078" t="str">
        <f>_xlfn.TEXTBEFORE(Tabla5[[#This Row],[archivo]],"/")</f>
        <v>sidecars</v>
      </c>
    </row>
    <row r="1079" spans="1:4" x14ac:dyDescent="0.3">
      <c r="A1079" t="s">
        <v>3845</v>
      </c>
      <c r="B1079" t="s">
        <v>1666</v>
      </c>
      <c r="C1079" t="s">
        <v>1666</v>
      </c>
      <c r="D1079" t="str">
        <f>_xlfn.TEXTBEFORE(Tabla5[[#This Row],[archivo]],"/")</f>
        <v>sidecars</v>
      </c>
    </row>
    <row r="1080" spans="1:4" x14ac:dyDescent="0.3">
      <c r="A1080" t="s">
        <v>3846</v>
      </c>
      <c r="B1080" t="s">
        <v>1397</v>
      </c>
      <c r="C1080" t="s">
        <v>1397</v>
      </c>
      <c r="D1080" t="str">
        <f>_xlfn.TEXTBEFORE(Tabla5[[#This Row],[archivo]],"/")</f>
        <v>sidecars</v>
      </c>
    </row>
    <row r="1081" spans="1:4" x14ac:dyDescent="0.3">
      <c r="A1081" t="s">
        <v>3847</v>
      </c>
      <c r="B1081" t="s">
        <v>1385</v>
      </c>
      <c r="C1081" t="s">
        <v>1385</v>
      </c>
      <c r="D1081" t="str">
        <f>_xlfn.TEXTBEFORE(Tabla5[[#This Row],[archivo]],"/")</f>
        <v>sidecars</v>
      </c>
    </row>
    <row r="1082" spans="1:4" x14ac:dyDescent="0.3">
      <c r="A1082" t="s">
        <v>3848</v>
      </c>
      <c r="B1082" t="s">
        <v>1371</v>
      </c>
      <c r="C1082" t="s">
        <v>1371</v>
      </c>
      <c r="D1082" t="str">
        <f>_xlfn.TEXTBEFORE(Tabla5[[#This Row],[archivo]],"/")</f>
        <v>sidecars</v>
      </c>
    </row>
    <row r="1083" spans="1:4" x14ac:dyDescent="0.3">
      <c r="A1083" t="s">
        <v>3849</v>
      </c>
      <c r="B1083" t="s">
        <v>1406</v>
      </c>
      <c r="C1083" t="s">
        <v>1406</v>
      </c>
      <c r="D1083" t="str">
        <f>_xlfn.TEXTBEFORE(Tabla5[[#This Row],[archivo]],"/")</f>
        <v>sidecars</v>
      </c>
    </row>
    <row r="1084" spans="1:4" x14ac:dyDescent="0.3">
      <c r="A1084" t="s">
        <v>3850</v>
      </c>
      <c r="B1084" t="s">
        <v>1381</v>
      </c>
      <c r="C1084" t="s">
        <v>1381</v>
      </c>
      <c r="D1084" t="str">
        <f>_xlfn.TEXTBEFORE(Tabla5[[#This Row],[archivo]],"/")</f>
        <v>sidecars</v>
      </c>
    </row>
    <row r="1085" spans="1:4" x14ac:dyDescent="0.3">
      <c r="A1085" t="s">
        <v>3851</v>
      </c>
      <c r="B1085" t="s">
        <v>1386</v>
      </c>
      <c r="C1085" t="s">
        <v>1386</v>
      </c>
      <c r="D1085" t="str">
        <f>_xlfn.TEXTBEFORE(Tabla5[[#This Row],[archivo]],"/")</f>
        <v>sidecars</v>
      </c>
    </row>
    <row r="1086" spans="1:4" x14ac:dyDescent="0.3">
      <c r="A1086" t="s">
        <v>3852</v>
      </c>
      <c r="B1086" t="s">
        <v>1399</v>
      </c>
      <c r="C1086" t="s">
        <v>1399</v>
      </c>
      <c r="D1086" t="str">
        <f>_xlfn.TEXTBEFORE(Tabla5[[#This Row],[archivo]],"/")</f>
        <v>sidecars</v>
      </c>
    </row>
    <row r="1087" spans="1:4" x14ac:dyDescent="0.3">
      <c r="A1087" t="s">
        <v>3853</v>
      </c>
      <c r="B1087" t="s">
        <v>1354</v>
      </c>
      <c r="C1087" t="s">
        <v>1354</v>
      </c>
      <c r="D1087" t="str">
        <f>_xlfn.TEXTBEFORE(Tabla5[[#This Row],[archivo]],"/")</f>
        <v>sidecars</v>
      </c>
    </row>
    <row r="1088" spans="1:4" x14ac:dyDescent="0.3">
      <c r="A1088" t="s">
        <v>3854</v>
      </c>
      <c r="B1088" t="s">
        <v>2400</v>
      </c>
      <c r="C1088" t="s">
        <v>2400</v>
      </c>
      <c r="D1088" t="str">
        <f>_xlfn.TEXTBEFORE(Tabla5[[#This Row],[archivo]],"/")</f>
        <v>sidecars</v>
      </c>
    </row>
    <row r="1089" spans="1:4" x14ac:dyDescent="0.3">
      <c r="A1089" t="s">
        <v>3855</v>
      </c>
      <c r="B1089" t="s">
        <v>2393</v>
      </c>
      <c r="C1089" t="s">
        <v>2393</v>
      </c>
      <c r="D1089" t="str">
        <f>_xlfn.TEXTBEFORE(Tabla5[[#This Row],[archivo]],"/")</f>
        <v>sidecars</v>
      </c>
    </row>
    <row r="1090" spans="1:4" x14ac:dyDescent="0.3">
      <c r="A1090" t="s">
        <v>3856</v>
      </c>
      <c r="B1090" t="s">
        <v>1382</v>
      </c>
      <c r="C1090" t="s">
        <v>1382</v>
      </c>
      <c r="D1090" t="str">
        <f>_xlfn.TEXTBEFORE(Tabla5[[#This Row],[archivo]],"/")</f>
        <v>sidecars</v>
      </c>
    </row>
    <row r="1091" spans="1:4" x14ac:dyDescent="0.3">
      <c r="A1091" t="s">
        <v>3857</v>
      </c>
      <c r="B1091" t="s">
        <v>2397</v>
      </c>
      <c r="C1091" t="s">
        <v>2397</v>
      </c>
      <c r="D1091" t="str">
        <f>_xlfn.TEXTBEFORE(Tabla5[[#This Row],[archivo]],"/")</f>
        <v>sidecars</v>
      </c>
    </row>
    <row r="1092" spans="1:4" x14ac:dyDescent="0.3">
      <c r="A1092" t="s">
        <v>3858</v>
      </c>
      <c r="B1092" t="s">
        <v>1390</v>
      </c>
      <c r="C1092" t="s">
        <v>1390</v>
      </c>
      <c r="D1092" t="str">
        <f>_xlfn.TEXTBEFORE(Tabla5[[#This Row],[archivo]],"/")</f>
        <v>sidecars</v>
      </c>
    </row>
    <row r="1093" spans="1:4" x14ac:dyDescent="0.3">
      <c r="A1093" t="s">
        <v>3859</v>
      </c>
      <c r="B1093" t="s">
        <v>1370</v>
      </c>
      <c r="C1093" t="s">
        <v>1370</v>
      </c>
      <c r="D1093" t="str">
        <f>_xlfn.TEXTBEFORE(Tabla5[[#This Row],[archivo]],"/")</f>
        <v>sidecars</v>
      </c>
    </row>
    <row r="1094" spans="1:4" x14ac:dyDescent="0.3">
      <c r="A1094" t="s">
        <v>3860</v>
      </c>
      <c r="B1094" t="s">
        <v>2399</v>
      </c>
      <c r="C1094" t="s">
        <v>2399</v>
      </c>
      <c r="D1094" t="str">
        <f>_xlfn.TEXTBEFORE(Tabla5[[#This Row],[archivo]],"/")</f>
        <v>sidecars</v>
      </c>
    </row>
    <row r="1095" spans="1:4" x14ac:dyDescent="0.3">
      <c r="A1095" t="s">
        <v>3861</v>
      </c>
      <c r="B1095" t="s">
        <v>1377</v>
      </c>
      <c r="C1095" t="s">
        <v>1377</v>
      </c>
      <c r="D1095" t="str">
        <f>_xlfn.TEXTBEFORE(Tabla5[[#This Row],[archivo]],"/")</f>
        <v>sidecars</v>
      </c>
    </row>
    <row r="1096" spans="1:4" x14ac:dyDescent="0.3">
      <c r="A1096" t="s">
        <v>3862</v>
      </c>
      <c r="B1096" t="s">
        <v>1405</v>
      </c>
      <c r="C1096" t="s">
        <v>1405</v>
      </c>
      <c r="D1096" t="str">
        <f>_xlfn.TEXTBEFORE(Tabla5[[#This Row],[archivo]],"/")</f>
        <v>sidecars</v>
      </c>
    </row>
    <row r="1097" spans="1:4" x14ac:dyDescent="0.3">
      <c r="A1097" t="s">
        <v>3863</v>
      </c>
      <c r="B1097" t="s">
        <v>1404</v>
      </c>
      <c r="C1097" t="s">
        <v>1404</v>
      </c>
      <c r="D1097" t="str">
        <f>_xlfn.TEXTBEFORE(Tabla5[[#This Row],[archivo]],"/")</f>
        <v>sidecars</v>
      </c>
    </row>
    <row r="1098" spans="1:4" x14ac:dyDescent="0.3">
      <c r="A1098" t="s">
        <v>3864</v>
      </c>
      <c r="B1098" t="s">
        <v>1408</v>
      </c>
      <c r="C1098" t="s">
        <v>1408</v>
      </c>
      <c r="D1098" t="str">
        <f>_xlfn.TEXTBEFORE(Tabla5[[#This Row],[archivo]],"/")</f>
        <v>sidecars</v>
      </c>
    </row>
    <row r="1099" spans="1:4" x14ac:dyDescent="0.3">
      <c r="A1099" t="s">
        <v>3865</v>
      </c>
      <c r="B1099" t="s">
        <v>1384</v>
      </c>
      <c r="C1099" t="s">
        <v>1384</v>
      </c>
      <c r="D1099" t="str">
        <f>_xlfn.TEXTBEFORE(Tabla5[[#This Row],[archivo]],"/")</f>
        <v>sidecars</v>
      </c>
    </row>
    <row r="1100" spans="1:4" x14ac:dyDescent="0.3">
      <c r="A1100" t="s">
        <v>3866</v>
      </c>
      <c r="B1100" t="s">
        <v>1387</v>
      </c>
      <c r="C1100" t="s">
        <v>1387</v>
      </c>
      <c r="D1100" t="str">
        <f>_xlfn.TEXTBEFORE(Tabla5[[#This Row],[archivo]],"/")</f>
        <v>sidecars</v>
      </c>
    </row>
    <row r="1101" spans="1:4" x14ac:dyDescent="0.3">
      <c r="A1101" t="s">
        <v>3867</v>
      </c>
      <c r="B1101" t="s">
        <v>1407</v>
      </c>
      <c r="C1101" t="s">
        <v>1407</v>
      </c>
      <c r="D1101" t="str">
        <f>_xlfn.TEXTBEFORE(Tabla5[[#This Row],[archivo]],"/")</f>
        <v>sidecars</v>
      </c>
    </row>
    <row r="1102" spans="1:4" x14ac:dyDescent="0.3">
      <c r="A1102" t="s">
        <v>3868</v>
      </c>
      <c r="B1102" t="s">
        <v>1388</v>
      </c>
      <c r="C1102" t="s">
        <v>1388</v>
      </c>
      <c r="D1102" t="str">
        <f>_xlfn.TEXTBEFORE(Tabla5[[#This Row],[archivo]],"/")</f>
        <v>sidecars</v>
      </c>
    </row>
    <row r="1103" spans="1:4" x14ac:dyDescent="0.3">
      <c r="A1103" t="s">
        <v>3869</v>
      </c>
      <c r="B1103" t="s">
        <v>1372</v>
      </c>
      <c r="C1103" t="s">
        <v>1372</v>
      </c>
      <c r="D1103" t="str">
        <f>_xlfn.TEXTBEFORE(Tabla5[[#This Row],[archivo]],"/")</f>
        <v>sidecars</v>
      </c>
    </row>
    <row r="1104" spans="1:4" x14ac:dyDescent="0.3">
      <c r="A1104" t="s">
        <v>3870</v>
      </c>
      <c r="B1104" t="s">
        <v>1115</v>
      </c>
      <c r="C1104" t="s">
        <v>1115</v>
      </c>
      <c r="D1104" t="str">
        <f>_xlfn.TEXTBEFORE(Tabla5[[#This Row],[archivo]],"/")</f>
        <v>sidecars</v>
      </c>
    </row>
    <row r="1105" spans="1:4" x14ac:dyDescent="0.3">
      <c r="A1105" t="s">
        <v>3871</v>
      </c>
      <c r="B1105" t="s">
        <v>1409</v>
      </c>
      <c r="C1105" t="s">
        <v>1409</v>
      </c>
      <c r="D1105" t="str">
        <f>_xlfn.TEXTBEFORE(Tabla5[[#This Row],[archivo]],"/")</f>
        <v>sidecars</v>
      </c>
    </row>
    <row r="1106" spans="1:4" x14ac:dyDescent="0.3">
      <c r="A1106" t="s">
        <v>3872</v>
      </c>
      <c r="B1106" t="s">
        <v>1378</v>
      </c>
      <c r="C1106" t="s">
        <v>1378</v>
      </c>
      <c r="D1106" t="str">
        <f>_xlfn.TEXTBEFORE(Tabla5[[#This Row],[archivo]],"/")</f>
        <v>sidecars</v>
      </c>
    </row>
    <row r="1107" spans="1:4" x14ac:dyDescent="0.3">
      <c r="A1107" t="s">
        <v>3873</v>
      </c>
      <c r="B1107" t="s">
        <v>1374</v>
      </c>
      <c r="C1107" t="s">
        <v>1374</v>
      </c>
      <c r="D1107" t="str">
        <f>_xlfn.TEXTBEFORE(Tabla5[[#This Row],[archivo]],"/")</f>
        <v>sidecars</v>
      </c>
    </row>
    <row r="1108" spans="1:4" x14ac:dyDescent="0.3">
      <c r="A1108" t="s">
        <v>3874</v>
      </c>
      <c r="B1108" t="s">
        <v>1365</v>
      </c>
      <c r="C1108" t="s">
        <v>1365</v>
      </c>
      <c r="D1108" t="str">
        <f>_xlfn.TEXTBEFORE(Tabla5[[#This Row],[archivo]],"/")</f>
        <v>sidecars</v>
      </c>
    </row>
    <row r="1109" spans="1:4" x14ac:dyDescent="0.3">
      <c r="A1109" t="s">
        <v>3875</v>
      </c>
      <c r="B1109" t="s">
        <v>1394</v>
      </c>
      <c r="C1109" t="s">
        <v>1394</v>
      </c>
      <c r="D1109" t="str">
        <f>_xlfn.TEXTBEFORE(Tabla5[[#This Row],[archivo]],"/")</f>
        <v>sidecars</v>
      </c>
    </row>
    <row r="1110" spans="1:4" x14ac:dyDescent="0.3">
      <c r="A1110" t="s">
        <v>3876</v>
      </c>
      <c r="B1110" t="s">
        <v>1373</v>
      </c>
      <c r="C1110" t="s">
        <v>1373</v>
      </c>
      <c r="D1110" t="str">
        <f>_xlfn.TEXTBEFORE(Tabla5[[#This Row],[archivo]],"/")</f>
        <v>sidecars</v>
      </c>
    </row>
    <row r="1111" spans="1:4" x14ac:dyDescent="0.3">
      <c r="A1111" t="s">
        <v>3877</v>
      </c>
      <c r="B1111" t="s">
        <v>2339</v>
      </c>
      <c r="C1111" t="s">
        <v>2339</v>
      </c>
      <c r="D1111" t="str">
        <f>_xlfn.TEXTBEFORE(Tabla5[[#This Row],[archivo]],"/")</f>
        <v>sidecars</v>
      </c>
    </row>
    <row r="1112" spans="1:4" x14ac:dyDescent="0.3">
      <c r="A1112" t="s">
        <v>3878</v>
      </c>
      <c r="B1112" t="s">
        <v>1358</v>
      </c>
      <c r="C1112" t="s">
        <v>1358</v>
      </c>
      <c r="D1112" t="str">
        <f>_xlfn.TEXTBEFORE(Tabla5[[#This Row],[archivo]],"/")</f>
        <v>sidecars</v>
      </c>
    </row>
    <row r="1113" spans="1:4" x14ac:dyDescent="0.3">
      <c r="A1113" t="s">
        <v>3879</v>
      </c>
      <c r="B1113" t="s">
        <v>1403</v>
      </c>
      <c r="C1113" t="s">
        <v>1403</v>
      </c>
      <c r="D1113" t="str">
        <f>_xlfn.TEXTBEFORE(Tabla5[[#This Row],[archivo]],"/")</f>
        <v>sidecars</v>
      </c>
    </row>
    <row r="1114" spans="1:4" x14ac:dyDescent="0.3">
      <c r="A1114" t="s">
        <v>3880</v>
      </c>
      <c r="B1114" t="s">
        <v>1356</v>
      </c>
      <c r="C1114" t="s">
        <v>1356</v>
      </c>
      <c r="D1114" t="str">
        <f>_xlfn.TEXTBEFORE(Tabla5[[#This Row],[archivo]],"/")</f>
        <v>sidecars</v>
      </c>
    </row>
    <row r="1115" spans="1:4" x14ac:dyDescent="0.3">
      <c r="A1115" t="s">
        <v>3881</v>
      </c>
      <c r="B1115" t="s">
        <v>1412</v>
      </c>
      <c r="C1115" t="s">
        <v>1412</v>
      </c>
      <c r="D1115" t="str">
        <f>_xlfn.TEXTBEFORE(Tabla5[[#This Row],[archivo]],"/")</f>
        <v>sidecars</v>
      </c>
    </row>
    <row r="1116" spans="1:4" x14ac:dyDescent="0.3">
      <c r="A1116" t="s">
        <v>3882</v>
      </c>
      <c r="B1116" t="s">
        <v>1376</v>
      </c>
      <c r="C1116" t="s">
        <v>1376</v>
      </c>
      <c r="D1116" t="str">
        <f>_xlfn.TEXTBEFORE(Tabla5[[#This Row],[archivo]],"/")</f>
        <v>sidecars</v>
      </c>
    </row>
    <row r="1117" spans="1:4" x14ac:dyDescent="0.3">
      <c r="A1117" t="s">
        <v>3883</v>
      </c>
      <c r="B1117" t="s">
        <v>1379</v>
      </c>
      <c r="C1117" t="s">
        <v>1379</v>
      </c>
      <c r="D1117" t="str">
        <f>_xlfn.TEXTBEFORE(Tabla5[[#This Row],[archivo]],"/")</f>
        <v>sidecars</v>
      </c>
    </row>
    <row r="1118" spans="1:4" x14ac:dyDescent="0.3">
      <c r="A1118" t="s">
        <v>3884</v>
      </c>
      <c r="B1118" t="s">
        <v>1395</v>
      </c>
      <c r="C1118" t="s">
        <v>1395</v>
      </c>
      <c r="D1118" t="str">
        <f>_xlfn.TEXTBEFORE(Tabla5[[#This Row],[archivo]],"/")</f>
        <v>sidecars</v>
      </c>
    </row>
    <row r="1119" spans="1:4" x14ac:dyDescent="0.3">
      <c r="A1119" t="s">
        <v>3885</v>
      </c>
      <c r="B1119" t="s">
        <v>1368</v>
      </c>
      <c r="C1119" t="s">
        <v>1368</v>
      </c>
      <c r="D1119" t="str">
        <f>_xlfn.TEXTBEFORE(Tabla5[[#This Row],[archivo]],"/")</f>
        <v>sidecars</v>
      </c>
    </row>
    <row r="1120" spans="1:4" x14ac:dyDescent="0.3">
      <c r="A1120" t="s">
        <v>3886</v>
      </c>
      <c r="B1120" t="s">
        <v>1367</v>
      </c>
      <c r="C1120" t="s">
        <v>1367</v>
      </c>
      <c r="D1120" t="str">
        <f>_xlfn.TEXTBEFORE(Tabla5[[#This Row],[archivo]],"/")</f>
        <v>sidecars</v>
      </c>
    </row>
    <row r="1121" spans="1:4" x14ac:dyDescent="0.3">
      <c r="A1121" t="s">
        <v>3887</v>
      </c>
      <c r="B1121" t="s">
        <v>1398</v>
      </c>
      <c r="C1121" t="s">
        <v>1398</v>
      </c>
      <c r="D1121" t="str">
        <f>_xlfn.TEXTBEFORE(Tabla5[[#This Row],[archivo]],"/")</f>
        <v>sidecars</v>
      </c>
    </row>
    <row r="1122" spans="1:4" x14ac:dyDescent="0.3">
      <c r="A1122" t="s">
        <v>3888</v>
      </c>
      <c r="B1122" t="s">
        <v>2396</v>
      </c>
      <c r="C1122" t="s">
        <v>2396</v>
      </c>
      <c r="D1122" t="str">
        <f>_xlfn.TEXTBEFORE(Tabla5[[#This Row],[archivo]],"/")</f>
        <v>sidecars</v>
      </c>
    </row>
    <row r="1123" spans="1:4" x14ac:dyDescent="0.3">
      <c r="A1123" t="s">
        <v>3889</v>
      </c>
      <c r="B1123" t="s">
        <v>1410</v>
      </c>
      <c r="C1123" t="s">
        <v>1410</v>
      </c>
      <c r="D1123" t="str">
        <f>_xlfn.TEXTBEFORE(Tabla5[[#This Row],[archivo]],"/")</f>
        <v>sidecars</v>
      </c>
    </row>
    <row r="1124" spans="1:4" x14ac:dyDescent="0.3">
      <c r="A1124" t="s">
        <v>3890</v>
      </c>
      <c r="B1124" t="s">
        <v>1411</v>
      </c>
      <c r="C1124" t="s">
        <v>1411</v>
      </c>
      <c r="D1124" t="str">
        <f>_xlfn.TEXTBEFORE(Tabla5[[#This Row],[archivo]],"/")</f>
        <v>sidecars</v>
      </c>
    </row>
    <row r="1125" spans="1:4" x14ac:dyDescent="0.3">
      <c r="A1125" t="s">
        <v>3891</v>
      </c>
      <c r="B1125" t="s">
        <v>1369</v>
      </c>
      <c r="C1125" t="s">
        <v>1369</v>
      </c>
      <c r="D1125" t="str">
        <f>_xlfn.TEXTBEFORE(Tabla5[[#This Row],[archivo]],"/")</f>
        <v>sidecars</v>
      </c>
    </row>
    <row r="1126" spans="1:4" x14ac:dyDescent="0.3">
      <c r="A1126" t="s">
        <v>3892</v>
      </c>
      <c r="B1126" t="s">
        <v>1357</v>
      </c>
      <c r="C1126" t="s">
        <v>1357</v>
      </c>
      <c r="D1126" t="str">
        <f>_xlfn.TEXTBEFORE(Tabla5[[#This Row],[archivo]],"/")</f>
        <v>sidecars</v>
      </c>
    </row>
    <row r="1127" spans="1:4" x14ac:dyDescent="0.3">
      <c r="A1127" t="s">
        <v>3893</v>
      </c>
      <c r="B1127" t="s">
        <v>176</v>
      </c>
      <c r="C1127" t="s">
        <v>176</v>
      </c>
      <c r="D1127" t="str">
        <f>_xlfn.TEXTBEFORE(Tabla5[[#This Row],[archivo]],"/")</f>
        <v>sidecars</v>
      </c>
    </row>
    <row r="1128" spans="1:4" x14ac:dyDescent="0.3">
      <c r="A1128" t="s">
        <v>3894</v>
      </c>
      <c r="B1128" t="s">
        <v>1400</v>
      </c>
      <c r="C1128" t="s">
        <v>1400</v>
      </c>
      <c r="D1128" t="str">
        <f>_xlfn.TEXTBEFORE(Tabla5[[#This Row],[archivo]],"/")</f>
        <v>sidecars</v>
      </c>
    </row>
    <row r="1129" spans="1:4" x14ac:dyDescent="0.3">
      <c r="A1129" t="s">
        <v>3895</v>
      </c>
      <c r="B1129" t="s">
        <v>1383</v>
      </c>
      <c r="C1129" t="s">
        <v>1383</v>
      </c>
      <c r="D1129" t="str">
        <f>_xlfn.TEXTBEFORE(Tabla5[[#This Row],[archivo]],"/")</f>
        <v>sidecars</v>
      </c>
    </row>
    <row r="1130" spans="1:4" x14ac:dyDescent="0.3">
      <c r="A1130" t="s">
        <v>3896</v>
      </c>
      <c r="B1130" t="s">
        <v>1401</v>
      </c>
      <c r="C1130" t="s">
        <v>1401</v>
      </c>
      <c r="D1130" t="str">
        <f>_xlfn.TEXTBEFORE(Tabla5[[#This Row],[archivo]],"/")</f>
        <v>sidecars</v>
      </c>
    </row>
    <row r="1131" spans="1:4" x14ac:dyDescent="0.3">
      <c r="A1131" t="s">
        <v>3897</v>
      </c>
      <c r="B1131" t="s">
        <v>1362</v>
      </c>
      <c r="C1131" t="s">
        <v>1362</v>
      </c>
      <c r="D1131" t="str">
        <f>_xlfn.TEXTBEFORE(Tabla5[[#This Row],[archivo]],"/")</f>
        <v>sidecars</v>
      </c>
    </row>
    <row r="1132" spans="1:4" x14ac:dyDescent="0.3">
      <c r="A1132" t="s">
        <v>3898</v>
      </c>
      <c r="B1132" t="s">
        <v>2398</v>
      </c>
      <c r="C1132" t="s">
        <v>2398</v>
      </c>
      <c r="D1132" t="str">
        <f>_xlfn.TEXTBEFORE(Tabla5[[#This Row],[archivo]],"/")</f>
        <v>sidecars</v>
      </c>
    </row>
    <row r="1133" spans="1:4" x14ac:dyDescent="0.3">
      <c r="A1133" t="s">
        <v>3899</v>
      </c>
      <c r="B1133" t="s">
        <v>1391</v>
      </c>
      <c r="C1133" t="s">
        <v>1391</v>
      </c>
      <c r="D1133" t="str">
        <f>_xlfn.TEXTBEFORE(Tabla5[[#This Row],[archivo]],"/")</f>
        <v>sidecars</v>
      </c>
    </row>
    <row r="1134" spans="1:4" x14ac:dyDescent="0.3">
      <c r="A1134" t="s">
        <v>3900</v>
      </c>
      <c r="B1134" t="s">
        <v>1389</v>
      </c>
      <c r="C1134" t="s">
        <v>1389</v>
      </c>
      <c r="D1134" t="str">
        <f>_xlfn.TEXTBEFORE(Tabla5[[#This Row],[archivo]],"/")</f>
        <v>sidecars</v>
      </c>
    </row>
    <row r="1135" spans="1:4" x14ac:dyDescent="0.3">
      <c r="A1135" t="s">
        <v>3901</v>
      </c>
      <c r="B1135" t="s">
        <v>1363</v>
      </c>
      <c r="C1135" t="s">
        <v>1363</v>
      </c>
      <c r="D1135" t="str">
        <f>_xlfn.TEXTBEFORE(Tabla5[[#This Row],[archivo]],"/")</f>
        <v>sidecars</v>
      </c>
    </row>
    <row r="1136" spans="1:4" x14ac:dyDescent="0.3">
      <c r="A1136" t="s">
        <v>3902</v>
      </c>
      <c r="B1136" t="s">
        <v>2401</v>
      </c>
      <c r="C1136" t="s">
        <v>2401</v>
      </c>
      <c r="D1136" t="str">
        <f>_xlfn.TEXTBEFORE(Tabla5[[#This Row],[archivo]],"/")</f>
        <v>sidecars</v>
      </c>
    </row>
    <row r="1137" spans="1:4" x14ac:dyDescent="0.3">
      <c r="A1137" t="s">
        <v>3903</v>
      </c>
      <c r="B1137" t="s">
        <v>1413</v>
      </c>
      <c r="C1137" t="s">
        <v>1413</v>
      </c>
      <c r="D1137" t="str">
        <f>_xlfn.TEXTBEFORE(Tabla5[[#This Row],[archivo]],"/")</f>
        <v>sidecars</v>
      </c>
    </row>
    <row r="1138" spans="1:4" x14ac:dyDescent="0.3">
      <c r="A1138" t="s">
        <v>3904</v>
      </c>
      <c r="B1138" t="s">
        <v>1355</v>
      </c>
      <c r="C1138" t="s">
        <v>1355</v>
      </c>
      <c r="D1138" t="str">
        <f>_xlfn.TEXTBEFORE(Tabla5[[#This Row],[archivo]],"/")</f>
        <v>sidecars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4DF0-17CD-4190-90F2-BFD40C3BD734}">
  <dimension ref="A1:F126"/>
  <sheetViews>
    <sheetView workbookViewId="0">
      <selection activeCell="B2" sqref="B2"/>
    </sheetView>
  </sheetViews>
  <sheetFormatPr baseColWidth="10" defaultRowHeight="14.4" x14ac:dyDescent="0.3"/>
  <cols>
    <col min="1" max="1" width="31.6640625" bestFit="1" customWidth="1"/>
    <col min="2" max="2" width="8" bestFit="1" customWidth="1"/>
    <col min="3" max="3" width="18.33203125" bestFit="1" customWidth="1"/>
    <col min="4" max="4" width="7.109375" style="1" bestFit="1" customWidth="1"/>
    <col min="5" max="5" width="38.6640625" bestFit="1" customWidth="1"/>
    <col min="6" max="6" width="132.33203125" bestFit="1" customWidth="1"/>
  </cols>
  <sheetData>
    <row r="1" spans="1:6" x14ac:dyDescent="0.3">
      <c r="A1" t="s">
        <v>2479</v>
      </c>
      <c r="B1" t="s">
        <v>2571</v>
      </c>
      <c r="C1" t="s">
        <v>2480</v>
      </c>
      <c r="D1" s="23" t="s">
        <v>2481</v>
      </c>
      <c r="E1" t="s">
        <v>2482</v>
      </c>
      <c r="F1" t="s">
        <v>2265</v>
      </c>
    </row>
    <row r="2" spans="1:6" x14ac:dyDescent="0.3">
      <c r="A2" t="s">
        <v>124</v>
      </c>
      <c r="B2" t="s">
        <v>2597</v>
      </c>
      <c r="C2" t="s">
        <v>2613</v>
      </c>
      <c r="D2" s="1" t="s">
        <v>2570</v>
      </c>
      <c r="E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20_de_enero.html</v>
      </c>
      <c r="F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dormida, Nuestra casa a la izquierda del tiempo"&gt;&lt;a href="canciones/lovg/20_de_enero.html"&gt;20 de enero&lt;/a&gt;&lt;/li&gt;</v>
      </c>
    </row>
    <row r="3" spans="1:6" x14ac:dyDescent="0.3">
      <c r="A3" t="s">
        <v>125</v>
      </c>
      <c r="B3" t="s">
        <v>2597</v>
      </c>
      <c r="C3" t="s">
        <v>2601</v>
      </c>
      <c r="D3" s="1" t="s">
        <v>2570</v>
      </c>
      <c r="E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a_diez_centimetros_de_ti.html</v>
      </c>
      <c r="F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href="canciones/lovg/a_diez_centimetros_de_ti.html"&gt;A diez centímetros de ti&lt;/a&gt;&lt;/li&gt;</v>
      </c>
    </row>
    <row r="4" spans="1:6" x14ac:dyDescent="0.3">
      <c r="A4" t="s">
        <v>186</v>
      </c>
      <c r="B4" t="s">
        <v>2597</v>
      </c>
      <c r="C4" t="s">
        <v>2619</v>
      </c>
      <c r="D4" s="1" t="s">
        <v>2570</v>
      </c>
      <c r="E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abrazame.html</v>
      </c>
      <c r="F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href="canciones/lovg/abrazame.html"&gt;Abrázame&lt;/a&gt;&lt;/li&gt;</v>
      </c>
    </row>
    <row r="5" spans="1:6" x14ac:dyDescent="0.3">
      <c r="A5" t="s">
        <v>1239</v>
      </c>
      <c r="B5" t="s">
        <v>2597</v>
      </c>
      <c r="C5" t="s">
        <v>2619</v>
      </c>
      <c r="D5" s="1" t="s">
        <v>2570</v>
      </c>
      <c r="E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acantilado.html</v>
      </c>
      <c r="F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href="canciones/lovg/acantilado.html"&gt;Acantilado&lt;/a&gt;&lt;/li&gt;</v>
      </c>
    </row>
    <row r="6" spans="1:6" x14ac:dyDescent="0.3">
      <c r="A6" t="s">
        <v>126</v>
      </c>
      <c r="B6" t="s">
        <v>2597</v>
      </c>
      <c r="C6" t="s">
        <v>2600</v>
      </c>
      <c r="D6" s="1" t="s">
        <v>2570</v>
      </c>
      <c r="E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adios.html</v>
      </c>
      <c r="F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href="canciones/lovg/adios.html"&gt;Adiós&lt;/a&gt;&lt;/li&gt;</v>
      </c>
    </row>
    <row r="7" spans="1:6" x14ac:dyDescent="0.3">
      <c r="A7" t="s">
        <v>127</v>
      </c>
      <c r="B7" t="s">
        <v>2597</v>
      </c>
      <c r="C7" t="s">
        <v>2602</v>
      </c>
      <c r="D7" s="1" t="s">
        <v>2570</v>
      </c>
      <c r="E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amores_dormidos.html</v>
      </c>
      <c r="F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href="canciones/lovg/amores_dormidos.html"&gt;Amores dormidos&lt;/a&gt;&lt;/li&gt;</v>
      </c>
    </row>
    <row r="8" spans="1:6" x14ac:dyDescent="0.3">
      <c r="A8" t="s">
        <v>128</v>
      </c>
      <c r="B8" t="s">
        <v>2597</v>
      </c>
      <c r="C8" t="s">
        <v>2601</v>
      </c>
      <c r="D8" s="1" t="s">
        <v>2570</v>
      </c>
      <c r="E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apareces_tu.html</v>
      </c>
      <c r="F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href="canciones/lovg/apareces_tu.html"&gt;Apareces tú&lt;/a&gt;&lt;/li&gt;</v>
      </c>
    </row>
    <row r="9" spans="1:6" x14ac:dyDescent="0.3">
      <c r="A9" t="s">
        <v>129</v>
      </c>
      <c r="B9" t="s">
        <v>2597</v>
      </c>
      <c r="C9" t="s">
        <v>2602</v>
      </c>
      <c r="D9" s="1" t="s">
        <v>2570</v>
      </c>
      <c r="E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aquella_ingrata.html</v>
      </c>
      <c r="F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href="canciones/lovg/aquella_ingrata.html"&gt;Aquella ingrata&lt;/a&gt;&lt;/li&gt;</v>
      </c>
    </row>
    <row r="10" spans="1:6" x14ac:dyDescent="0.3">
      <c r="A10" t="s">
        <v>130</v>
      </c>
      <c r="B10" t="s">
        <v>2597</v>
      </c>
      <c r="C10" t="s">
        <v>2600</v>
      </c>
      <c r="D10" s="1" t="s">
        <v>2570</v>
      </c>
      <c r="E1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bonustrack.html</v>
      </c>
      <c r="F1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href="canciones/lovg/bonustrack.html"&gt;Bonustrack&lt;/a&gt;&lt;/li&gt;</v>
      </c>
    </row>
    <row r="11" spans="1:6" x14ac:dyDescent="0.3">
      <c r="A11" t="s">
        <v>187</v>
      </c>
      <c r="B11" t="s">
        <v>2597</v>
      </c>
      <c r="C11" t="s">
        <v>2618</v>
      </c>
      <c r="D11" s="1" t="s">
        <v>2570</v>
      </c>
      <c r="E1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camino_de_tu_corazon.html</v>
      </c>
      <c r="F1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href="canciones/lovg/camino_de_tu_corazon.html"&gt;Camino de tu corazón&lt;/a&gt;&lt;/li&gt;</v>
      </c>
    </row>
    <row r="12" spans="1:6" x14ac:dyDescent="0.3">
      <c r="A12" t="s">
        <v>131</v>
      </c>
      <c r="B12" t="s">
        <v>2597</v>
      </c>
      <c r="C12" t="s">
        <v>2602</v>
      </c>
      <c r="D12" s="1" t="s">
        <v>2570</v>
      </c>
      <c r="E1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cancion_desesperada.html</v>
      </c>
      <c r="F1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href="canciones/lovg/cancion_desesperada.html"&gt;Canción desesperada&lt;/a&gt;&lt;/li&gt;</v>
      </c>
    </row>
    <row r="13" spans="1:6" x14ac:dyDescent="0.3">
      <c r="A13" t="s">
        <v>188</v>
      </c>
      <c r="B13" t="s">
        <v>2597</v>
      </c>
      <c r="C13" t="s">
        <v>188</v>
      </c>
      <c r="D13" s="1" t="s">
        <v>2570</v>
      </c>
      <c r="E1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cometas_por_el_cielo.html</v>
      </c>
      <c r="F1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href="canciones/lovg/cometas_por_el_cielo.html"&gt;Cometas por el cielo&lt;/a&gt;&lt;/li&gt;</v>
      </c>
    </row>
    <row r="14" spans="1:6" x14ac:dyDescent="0.3">
      <c r="A14" t="s">
        <v>1236</v>
      </c>
      <c r="B14" t="s">
        <v>2597</v>
      </c>
      <c r="C14" t="s">
        <v>2619</v>
      </c>
      <c r="D14" s="1" t="s">
        <v>2570</v>
      </c>
      <c r="E1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como_un_par_de_girasoles.html</v>
      </c>
      <c r="F1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href="canciones/lovg/como_un_par_de_girasoles.html"&gt;Como un par de girasoles&lt;/a&gt;&lt;/li&gt;</v>
      </c>
    </row>
    <row r="15" spans="1:6" x14ac:dyDescent="0.3">
      <c r="A15" t="s">
        <v>132</v>
      </c>
      <c r="B15" t="s">
        <v>2597</v>
      </c>
      <c r="C15" t="s">
        <v>2602</v>
      </c>
      <c r="D15" s="1" t="s">
        <v>2570</v>
      </c>
      <c r="E1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coronel.html</v>
      </c>
      <c r="F1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href="canciones/lovg/coronel.html"&gt;Coronel&lt;/a&gt;&lt;/li&gt;</v>
      </c>
    </row>
    <row r="16" spans="1:6" x14ac:dyDescent="0.3">
      <c r="A16" t="s">
        <v>189</v>
      </c>
      <c r="B16" t="s">
        <v>2597</v>
      </c>
      <c r="C16" t="s">
        <v>2620</v>
      </c>
      <c r="D16" s="1" t="s">
        <v>2570</v>
      </c>
      <c r="E1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cuando_dices_adios.html</v>
      </c>
      <c r="F1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data-album="Primera fila"&gt;&lt;a href="canciones/lovg/cuando_dices_adios.html"&gt;Cuando dices adiós&lt;/a&gt;&lt;/li&gt;</v>
      </c>
    </row>
    <row r="17" spans="1:6" x14ac:dyDescent="0.3">
      <c r="A17" t="s">
        <v>190</v>
      </c>
      <c r="B17" t="s">
        <v>2597</v>
      </c>
      <c r="C17" t="s">
        <v>2618</v>
      </c>
      <c r="D17" s="1" t="s">
        <v>2570</v>
      </c>
      <c r="E1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cuando_menos_lo_merezca.html</v>
      </c>
      <c r="F1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href="canciones/lovg/cuando_menos_lo_merezca.html"&gt;Cuando menos lo merezca&lt;/a&gt;&lt;/li&gt;</v>
      </c>
    </row>
    <row r="18" spans="1:6" x14ac:dyDescent="0.3">
      <c r="A18" t="s">
        <v>133</v>
      </c>
      <c r="B18" t="s">
        <v>2597</v>
      </c>
      <c r="C18" t="s">
        <v>2603</v>
      </c>
      <c r="D18" s="1" t="s">
        <v>2570</v>
      </c>
      <c r="E1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cuantos_cuentos_cuento.html</v>
      </c>
      <c r="F1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data-album="Guapa, Más guapa"&gt;&lt;a href="canciones/lovg/cuantos_cuentos_cuento.html"&gt;Cuántos cuentos cuento&lt;/a&gt;&lt;/li&gt;</v>
      </c>
    </row>
    <row r="19" spans="1:6" x14ac:dyDescent="0.3">
      <c r="A19" t="s">
        <v>134</v>
      </c>
      <c r="B19" t="s">
        <v>2597</v>
      </c>
      <c r="C19" t="s">
        <v>2611</v>
      </c>
      <c r="D19" s="1" t="s">
        <v>2570</v>
      </c>
      <c r="E1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cuentame_al_oido.html</v>
      </c>
      <c r="F1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sol, Nuestra casa a la izquierda del tiempo"&gt;&lt;a href="canciones/lovg/cuentame_al_oido.html"&gt;Cuéntame al oído&lt;/a&gt;&lt;/li&gt;</v>
      </c>
    </row>
    <row r="20" spans="1:6" x14ac:dyDescent="0.3">
      <c r="A20" t="s">
        <v>135</v>
      </c>
      <c r="B20" t="s">
        <v>2597</v>
      </c>
      <c r="C20" t="s">
        <v>2599</v>
      </c>
      <c r="D20" s="1" t="s">
        <v>2570</v>
      </c>
      <c r="E2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cuidate.html</v>
      </c>
      <c r="F2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href="canciones/lovg/cuidate.html"&gt;Cuídate&lt;/a&gt;&lt;/li&gt;</v>
      </c>
    </row>
    <row r="21" spans="1:6" x14ac:dyDescent="0.3">
      <c r="A21" t="s">
        <v>191</v>
      </c>
      <c r="B21" t="s">
        <v>2597</v>
      </c>
      <c r="C21" t="s">
        <v>2607</v>
      </c>
      <c r="D21" s="1" t="s">
        <v>2570</v>
      </c>
      <c r="E2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cumplir_un_año_menos.html</v>
      </c>
      <c r="F2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href="canciones/lovg/cumplir_un_año_menos.html"&gt;Cumplir un año menos&lt;/a&gt;&lt;/li&gt;</v>
      </c>
    </row>
    <row r="22" spans="1:6" x14ac:dyDescent="0.3">
      <c r="A22" t="s">
        <v>136</v>
      </c>
      <c r="B22" t="s">
        <v>2597</v>
      </c>
      <c r="C22" t="s">
        <v>2602</v>
      </c>
      <c r="D22" s="1" t="s">
        <v>2570</v>
      </c>
      <c r="E2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dejate_llevar.html</v>
      </c>
      <c r="F2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href="canciones/lovg/dejate_llevar.html"&gt;Déjate llevar&lt;/a&gt;&lt;/li&gt;</v>
      </c>
    </row>
    <row r="23" spans="1:6" x14ac:dyDescent="0.3">
      <c r="A23" t="s">
        <v>137</v>
      </c>
      <c r="B23" t="s">
        <v>2597</v>
      </c>
      <c r="C23" t="s">
        <v>2599</v>
      </c>
      <c r="D23" s="1" t="s">
        <v>2570</v>
      </c>
      <c r="E2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desde_el_puerto.html</v>
      </c>
      <c r="F2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href="canciones/lovg/desde_el_puerto.html"&gt;Desde el puerto&lt;/a&gt;&lt;/li&gt;</v>
      </c>
    </row>
    <row r="24" spans="1:6" x14ac:dyDescent="0.3">
      <c r="A24" t="s">
        <v>138</v>
      </c>
      <c r="B24" t="s">
        <v>2597</v>
      </c>
      <c r="C24" t="s">
        <v>2613</v>
      </c>
      <c r="D24" s="1" t="s">
        <v>2570</v>
      </c>
      <c r="E2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deseos_de_cosas_imposibles.html</v>
      </c>
      <c r="F2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dormida, Nuestra casa a la izquierda del tiempo"&gt;&lt;a href="canciones/lovg/deseos_de_cosas_imposibles.html"&gt;Deseos de cosas imposibles&lt;/a&gt;&lt;/li&gt;</v>
      </c>
    </row>
    <row r="25" spans="1:6" x14ac:dyDescent="0.3">
      <c r="A25" t="s">
        <v>139</v>
      </c>
      <c r="B25" t="s">
        <v>2597</v>
      </c>
      <c r="C25" t="s">
        <v>2602</v>
      </c>
      <c r="D25" s="1" t="s">
        <v>2570</v>
      </c>
      <c r="E2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despacio.html</v>
      </c>
      <c r="F2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href="canciones/lovg/despacio.html"&gt;Despacio&lt;/a&gt;&lt;/li&gt;</v>
      </c>
    </row>
    <row r="26" spans="1:6" x14ac:dyDescent="0.3">
      <c r="A26" t="s">
        <v>192</v>
      </c>
      <c r="B26" t="s">
        <v>2597</v>
      </c>
      <c r="C26" t="s">
        <v>188</v>
      </c>
      <c r="D26" s="1" t="s">
        <v>2570</v>
      </c>
      <c r="E2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dia_cero.html</v>
      </c>
      <c r="F2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href="canciones/lovg/dia_cero.html"&gt;Día cero&lt;/a&gt;&lt;/li&gt;</v>
      </c>
    </row>
    <row r="27" spans="1:6" x14ac:dyDescent="0.3">
      <c r="A27" t="s">
        <v>140</v>
      </c>
      <c r="B27" t="s">
        <v>2597</v>
      </c>
      <c r="C27" t="s">
        <v>2599</v>
      </c>
      <c r="D27" s="1" t="s">
        <v>2570</v>
      </c>
      <c r="E2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dicen_que_dicen.html</v>
      </c>
      <c r="F2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href="canciones/lovg/dicen_que_dicen.html"&gt;Dicen que dicen&lt;/a&gt;&lt;/li&gt;</v>
      </c>
    </row>
    <row r="28" spans="1:6" x14ac:dyDescent="0.3">
      <c r="A28" t="s">
        <v>193</v>
      </c>
      <c r="B28" t="s">
        <v>2597</v>
      </c>
      <c r="C28" t="s">
        <v>2618</v>
      </c>
      <c r="D28" s="1" t="s">
        <v>2570</v>
      </c>
      <c r="E2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diciembre.html</v>
      </c>
      <c r="F2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href="canciones/lovg/diciembre.html"&gt;Diciembre&lt;/a&gt;&lt;/li&gt;</v>
      </c>
    </row>
    <row r="29" spans="1:6" x14ac:dyDescent="0.3">
      <c r="A29" t="s">
        <v>141</v>
      </c>
      <c r="B29" t="s">
        <v>2597</v>
      </c>
      <c r="C29" t="s">
        <v>141</v>
      </c>
      <c r="D29" s="1" t="s">
        <v>2570</v>
      </c>
      <c r="E2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dile_al_sol.html</v>
      </c>
      <c r="F2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href="canciones/lovg/dile_al_sol.html"&gt;Dile al sol&lt;/a&gt;&lt;/li&gt;</v>
      </c>
    </row>
    <row r="30" spans="1:6" x14ac:dyDescent="0.3">
      <c r="A30" t="s">
        <v>1238</v>
      </c>
      <c r="B30" t="s">
        <v>2597</v>
      </c>
      <c r="C30" t="s">
        <v>2619</v>
      </c>
      <c r="D30" s="1" t="s">
        <v>2570</v>
      </c>
      <c r="E3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doblar_y_comprender.html</v>
      </c>
      <c r="F3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href="canciones/lovg/doblar_y_comprender.html"&gt;Doblar y comprender&lt;/a&gt;&lt;/li&gt;</v>
      </c>
    </row>
    <row r="31" spans="1:6" x14ac:dyDescent="0.3">
      <c r="A31" t="s">
        <v>194</v>
      </c>
      <c r="B31" t="s">
        <v>2597</v>
      </c>
      <c r="C31" t="s">
        <v>188</v>
      </c>
      <c r="D31" s="1" t="s">
        <v>2570</v>
      </c>
      <c r="E3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dos_copos_de_nieve.html</v>
      </c>
      <c r="F3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href="canciones/lovg/dos_copos_de_nieve.html"&gt;Dos copos de nieve&lt;/a&gt;&lt;/li&gt;</v>
      </c>
    </row>
    <row r="32" spans="1:6" x14ac:dyDescent="0.3">
      <c r="A32" t="s">
        <v>142</v>
      </c>
      <c r="B32" t="s">
        <v>2597</v>
      </c>
      <c r="C32" t="s">
        <v>141</v>
      </c>
      <c r="D32" s="1" t="s">
        <v>2570</v>
      </c>
      <c r="E3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dos_cristales.html</v>
      </c>
      <c r="F3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href="canciones/lovg/dos_cristales.html"&gt;Dos cristales&lt;/a&gt;&lt;/li&gt;</v>
      </c>
    </row>
    <row r="33" spans="1:6" x14ac:dyDescent="0.3">
      <c r="A33" t="s">
        <v>143</v>
      </c>
      <c r="B33" t="s">
        <v>2597</v>
      </c>
      <c r="C33" t="s">
        <v>2601</v>
      </c>
      <c r="D33" s="1" t="s">
        <v>2570</v>
      </c>
      <c r="E3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dulce_locura.html</v>
      </c>
      <c r="F3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href="canciones/lovg/dulce_locura.html"&gt;Dulce locura&lt;/a&gt;&lt;/li&gt;</v>
      </c>
    </row>
    <row r="34" spans="1:6" x14ac:dyDescent="0.3">
      <c r="A34" t="s">
        <v>195</v>
      </c>
      <c r="B34" t="s">
        <v>2597</v>
      </c>
      <c r="C34" t="s">
        <v>2619</v>
      </c>
      <c r="D34" s="1" t="s">
        <v>2570</v>
      </c>
      <c r="E3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durante_una_mirada.html</v>
      </c>
      <c r="F3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href="canciones/lovg/durante_una_mirada.html"&gt;Durante una mirada&lt;/a&gt;&lt;/li&gt;</v>
      </c>
    </row>
    <row r="35" spans="1:6" x14ac:dyDescent="0.3">
      <c r="A35" t="s">
        <v>144</v>
      </c>
      <c r="B35" t="s">
        <v>2597</v>
      </c>
      <c r="C35" t="s">
        <v>141</v>
      </c>
      <c r="D35" s="1" t="s">
        <v>2570</v>
      </c>
      <c r="E3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el_28.html</v>
      </c>
      <c r="F3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href="canciones/lovg/el_28.html"&gt;El 28&lt;/a&gt;&lt;/li&gt;</v>
      </c>
    </row>
    <row r="36" spans="1:6" x14ac:dyDescent="0.3">
      <c r="A36" t="s">
        <v>2605</v>
      </c>
      <c r="B36" t="s">
        <v>2597</v>
      </c>
      <c r="C36" t="s">
        <v>2602</v>
      </c>
      <c r="E3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el_arbol.html</v>
      </c>
      <c r="F3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href="canciones/lovg/el_arbol.html"&gt;El árbol&lt;/a&gt;&lt;/li&gt;</v>
      </c>
    </row>
    <row r="37" spans="1:6" x14ac:dyDescent="0.3">
      <c r="A37" t="s">
        <v>145</v>
      </c>
      <c r="B37" t="s">
        <v>2597</v>
      </c>
      <c r="C37" t="s">
        <v>141</v>
      </c>
      <c r="D37" s="1" t="s">
        <v>2570</v>
      </c>
      <c r="E3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el_libro.html</v>
      </c>
      <c r="F3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href="canciones/lovg/el_libro.html"&gt;El libro&lt;/a&gt;&lt;/li&gt;</v>
      </c>
    </row>
    <row r="38" spans="1:6" x14ac:dyDescent="0.3">
      <c r="A38" t="s">
        <v>196</v>
      </c>
      <c r="B38" t="s">
        <v>2597</v>
      </c>
      <c r="C38" t="s">
        <v>2620</v>
      </c>
      <c r="D38" s="1" t="s">
        <v>2570</v>
      </c>
      <c r="E3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el_primer_dia_del_resto_de_mi_vida.html</v>
      </c>
      <c r="F3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data-album="Primera fila"&gt;&lt;a href="canciones/lovg/el_primer_dia_del_resto_de_mi_vida.html"&gt;El primer día del resto de mi vida&lt;/a&gt;&lt;/li&gt;</v>
      </c>
    </row>
    <row r="39" spans="1:6" x14ac:dyDescent="0.3">
      <c r="A39" t="s">
        <v>146</v>
      </c>
      <c r="B39" t="s">
        <v>2597</v>
      </c>
      <c r="C39" t="s">
        <v>141</v>
      </c>
      <c r="D39" s="1" t="s">
        <v>2570</v>
      </c>
      <c r="E3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el_tiempo.html</v>
      </c>
      <c r="F3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href="canciones/lovg/el_tiempo.html"&gt;El tiempo&lt;/a&gt;&lt;/li&gt;</v>
      </c>
    </row>
    <row r="40" spans="1:6" x14ac:dyDescent="0.3">
      <c r="A40" t="s">
        <v>197</v>
      </c>
      <c r="B40" t="s">
        <v>2597</v>
      </c>
      <c r="C40" t="s">
        <v>188</v>
      </c>
      <c r="D40" s="1" t="s">
        <v>2570</v>
      </c>
      <c r="E4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el_tiempo_a_solas.html</v>
      </c>
      <c r="F4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href="canciones/lovg/el_tiempo_a_solas.html"&gt;El tiempo a solas&lt;/a&gt;&lt;/li&gt;</v>
      </c>
    </row>
    <row r="41" spans="1:6" x14ac:dyDescent="0.3">
      <c r="A41" t="s">
        <v>198</v>
      </c>
      <c r="B41" t="s">
        <v>2597</v>
      </c>
      <c r="C41" t="s">
        <v>2612</v>
      </c>
      <c r="D41" s="1" t="s">
        <v>2570</v>
      </c>
      <c r="E4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el_ultimo_vals.html</v>
      </c>
      <c r="F4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Astoria, Nuestra casa a la izquierda del tiempo"&gt;&lt;a href="canciones/lovg/el_ultimo_vals.html"&gt;El último vals&lt;/a&gt;&lt;/li&gt;</v>
      </c>
    </row>
    <row r="42" spans="1:6" x14ac:dyDescent="0.3">
      <c r="A42" t="s">
        <v>147</v>
      </c>
      <c r="B42" t="s">
        <v>2597</v>
      </c>
      <c r="C42" t="s">
        <v>2602</v>
      </c>
      <c r="D42" s="1" t="s">
        <v>2570</v>
      </c>
      <c r="E4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en_mi_lado_del_sofa.html</v>
      </c>
      <c r="F4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href="canciones/lovg/en_mi_lado_del_sofa.html"&gt;En mi lado del sofá&lt;/a&gt;&lt;/li&gt;</v>
      </c>
    </row>
    <row r="43" spans="1:6" x14ac:dyDescent="0.3">
      <c r="A43" t="s">
        <v>2617</v>
      </c>
      <c r="B43" t="s">
        <v>2597</v>
      </c>
      <c r="C43" t="s">
        <v>188</v>
      </c>
      <c r="E4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epifania.html</v>
      </c>
      <c r="F4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href="canciones/lovg/epifania.html"&gt;Epifanía&lt;/a&gt;&lt;/li&gt;</v>
      </c>
    </row>
    <row r="44" spans="1:6" x14ac:dyDescent="0.3">
      <c r="A44" t="s">
        <v>199</v>
      </c>
      <c r="B44" t="s">
        <v>2597</v>
      </c>
      <c r="C44" t="s">
        <v>2618</v>
      </c>
      <c r="D44" s="1" t="s">
        <v>2570</v>
      </c>
      <c r="E4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esa_chica.html</v>
      </c>
      <c r="F4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href="canciones/lovg/esa_chica.html"&gt;Esa chica&lt;/a&gt;&lt;/li&gt;</v>
      </c>
    </row>
    <row r="45" spans="1:6" x14ac:dyDescent="0.3">
      <c r="A45" t="s">
        <v>2606</v>
      </c>
      <c r="B45" t="s">
        <v>2597</v>
      </c>
      <c r="C45" t="s">
        <v>2602</v>
      </c>
      <c r="E4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escalera_a_la_luna.html</v>
      </c>
      <c r="F4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href="canciones/lovg/escalera_a_la_luna.html"&gt;Escalera a la luna&lt;/a&gt;&lt;/li&gt;</v>
      </c>
    </row>
    <row r="46" spans="1:6" x14ac:dyDescent="0.3">
      <c r="A46" t="s">
        <v>148</v>
      </c>
      <c r="B46" t="s">
        <v>2597</v>
      </c>
      <c r="C46" t="s">
        <v>2601</v>
      </c>
      <c r="D46" s="1" t="s">
        <v>2570</v>
      </c>
      <c r="E4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escapar.html</v>
      </c>
      <c r="F4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href="canciones/lovg/escapar.html"&gt;Escapar&lt;/a&gt;&lt;/li&gt;</v>
      </c>
    </row>
    <row r="47" spans="1:6" x14ac:dyDescent="0.3">
      <c r="A47" t="s">
        <v>200</v>
      </c>
      <c r="B47" t="s">
        <v>2597</v>
      </c>
      <c r="C47" t="s">
        <v>188</v>
      </c>
      <c r="D47" s="1" t="s">
        <v>2570</v>
      </c>
      <c r="E4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esta_vez_no_digas_nada.html</v>
      </c>
      <c r="F4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href="canciones/lovg/esta_vez_no_digas_nada.html"&gt;Esta vez no digas nada&lt;/a&gt;&lt;/li&gt;</v>
      </c>
    </row>
    <row r="48" spans="1:6" x14ac:dyDescent="0.3">
      <c r="A48" t="s">
        <v>201</v>
      </c>
      <c r="B48" t="s">
        <v>2597</v>
      </c>
      <c r="C48" t="s">
        <v>2618</v>
      </c>
      <c r="D48" s="1" t="s">
        <v>2570</v>
      </c>
      <c r="E4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estoy_contigo.html</v>
      </c>
      <c r="F4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href="canciones/lovg/estoy_contigo.html"&gt;Estoy contigo&lt;/a&gt;&lt;/li&gt;</v>
      </c>
    </row>
    <row r="49" spans="1:6" x14ac:dyDescent="0.3">
      <c r="A49" t="s">
        <v>202</v>
      </c>
      <c r="B49" t="s">
        <v>2597</v>
      </c>
      <c r="C49" t="s">
        <v>2607</v>
      </c>
      <c r="D49" s="1" t="s">
        <v>2570</v>
      </c>
      <c r="E4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europa_vii.html</v>
      </c>
      <c r="F4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href="canciones/lovg/europa_vii.html"&gt;Europa VII&lt;/a&gt;&lt;/li&gt;</v>
      </c>
    </row>
    <row r="50" spans="1:6" x14ac:dyDescent="0.3">
      <c r="A50" t="s">
        <v>149</v>
      </c>
      <c r="B50" t="s">
        <v>2597</v>
      </c>
      <c r="C50" t="s">
        <v>2621</v>
      </c>
      <c r="D50" s="1" t="s">
        <v>2570</v>
      </c>
      <c r="E5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flash.html</v>
      </c>
      <c r="F5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data-album="Singles"&gt;&lt;a href="canciones/lovg/flash.html"&gt;Flash&lt;/a&gt;&lt;/li&gt;</v>
      </c>
    </row>
    <row r="51" spans="1:6" x14ac:dyDescent="0.3">
      <c r="A51" t="s">
        <v>203</v>
      </c>
      <c r="B51" t="s">
        <v>2597</v>
      </c>
      <c r="C51" t="s">
        <v>2607</v>
      </c>
      <c r="D51" s="1" t="s">
        <v>2570</v>
      </c>
      <c r="E5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flores_en_la_orilla.html</v>
      </c>
      <c r="F5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href="canciones/lovg/flores_en_la_orilla.html"&gt;Flores en la orilla&lt;/a&gt;&lt;/li&gt;</v>
      </c>
    </row>
    <row r="52" spans="1:6" x14ac:dyDescent="0.3">
      <c r="A52" t="s">
        <v>1237</v>
      </c>
      <c r="B52" t="s">
        <v>2597</v>
      </c>
      <c r="C52" t="s">
        <v>2619</v>
      </c>
      <c r="D52" s="1" t="s">
        <v>2570</v>
      </c>
      <c r="E5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galerna.html</v>
      </c>
      <c r="F5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href="canciones/lovg/galerna.html"&gt;Galerna&lt;/a&gt;&lt;/li&gt;</v>
      </c>
    </row>
    <row r="53" spans="1:6" x14ac:dyDescent="0.3">
      <c r="A53" t="s">
        <v>150</v>
      </c>
      <c r="B53" t="s">
        <v>2597</v>
      </c>
      <c r="C53" t="s">
        <v>2600</v>
      </c>
      <c r="D53" s="1" t="s">
        <v>2570</v>
      </c>
      <c r="E5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geografia.html</v>
      </c>
      <c r="F5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href="canciones/lovg/geografia.html"&gt;Geografía&lt;/a&gt;&lt;/li&gt;</v>
      </c>
    </row>
    <row r="54" spans="1:6" x14ac:dyDescent="0.3">
      <c r="A54" t="s">
        <v>151</v>
      </c>
      <c r="B54" t="s">
        <v>2597</v>
      </c>
      <c r="C54" t="s">
        <v>2600</v>
      </c>
      <c r="D54" s="1" t="s">
        <v>2570</v>
      </c>
      <c r="E5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historia_de_un_sueño.html</v>
      </c>
      <c r="F5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href="canciones/lovg/historia_de_un_sueño.html"&gt;Historia de un sueño&lt;/a&gt;&lt;/li&gt;</v>
      </c>
    </row>
    <row r="55" spans="1:6" x14ac:dyDescent="0.3">
      <c r="A55" t="s">
        <v>204</v>
      </c>
      <c r="B55" t="s">
        <v>2597</v>
      </c>
      <c r="C55" t="s">
        <v>2607</v>
      </c>
      <c r="D55" s="1" t="s">
        <v>2570</v>
      </c>
      <c r="E5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inmortal.html</v>
      </c>
      <c r="F5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href="canciones/lovg/inmortal.html"&gt;Inmortal&lt;/a&gt;&lt;/li&gt;</v>
      </c>
    </row>
    <row r="56" spans="1:6" x14ac:dyDescent="0.3">
      <c r="A56" t="s">
        <v>205</v>
      </c>
      <c r="B56" t="s">
        <v>2597</v>
      </c>
      <c r="C56" t="s">
        <v>2618</v>
      </c>
      <c r="D56" s="1" t="s">
        <v>2570</v>
      </c>
      <c r="E5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intocables.html</v>
      </c>
      <c r="F5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href="canciones/lovg/intocables.html"&gt;Intocables&lt;/a&gt;&lt;/li&gt;</v>
      </c>
    </row>
    <row r="57" spans="1:6" x14ac:dyDescent="0.3">
      <c r="A57" t="s">
        <v>152</v>
      </c>
      <c r="B57" t="s">
        <v>2597</v>
      </c>
      <c r="C57" t="s">
        <v>2601</v>
      </c>
      <c r="D57" s="1" t="s">
        <v>2570</v>
      </c>
      <c r="E5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irreversible.html</v>
      </c>
      <c r="F5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href="canciones/lovg/irreversible.html"&gt;Irreversible&lt;/a&gt;&lt;/li&gt;</v>
      </c>
    </row>
    <row r="58" spans="1:6" x14ac:dyDescent="0.3">
      <c r="A58" t="s">
        <v>206</v>
      </c>
      <c r="B58" t="s">
        <v>2597</v>
      </c>
      <c r="C58" t="s">
        <v>2612</v>
      </c>
      <c r="D58" s="1" t="s">
        <v>2570</v>
      </c>
      <c r="E5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jueves.html</v>
      </c>
      <c r="F5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Astoria, Nuestra casa a la izquierda del tiempo"&gt;&lt;a href="canciones/lovg/jueves.html"&gt;Jueves&lt;/a&gt;&lt;/li&gt;</v>
      </c>
    </row>
    <row r="59" spans="1:6" x14ac:dyDescent="0.3">
      <c r="A59" t="s">
        <v>153</v>
      </c>
      <c r="B59" t="s">
        <v>2597</v>
      </c>
      <c r="C59" t="s">
        <v>141</v>
      </c>
      <c r="D59" s="1" t="s">
        <v>2570</v>
      </c>
      <c r="E5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la_carta.html</v>
      </c>
      <c r="F5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href="canciones/lovg/la_carta.html"&gt;La carta&lt;/a&gt;&lt;/li&gt;</v>
      </c>
    </row>
    <row r="60" spans="1:6" x14ac:dyDescent="0.3">
      <c r="A60" t="s">
        <v>207</v>
      </c>
      <c r="B60" t="s">
        <v>2597</v>
      </c>
      <c r="C60" t="s">
        <v>2621</v>
      </c>
      <c r="D60" s="1" t="s">
        <v>2570</v>
      </c>
      <c r="E6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la_chica_del_espejo.html</v>
      </c>
      <c r="F6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data-album="Singles"&gt;&lt;a href="canciones/lovg/la_chica_del_espejo.html"&gt;La chica del espejo&lt;/a&gt;&lt;/li&gt;</v>
      </c>
    </row>
    <row r="61" spans="1:6" x14ac:dyDescent="0.3">
      <c r="A61" t="s">
        <v>154</v>
      </c>
      <c r="B61" t="s">
        <v>2597</v>
      </c>
      <c r="C61" t="s">
        <v>2599</v>
      </c>
      <c r="D61" s="1" t="s">
        <v>2570</v>
      </c>
      <c r="E6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la_chica_del_gorro_azul.html</v>
      </c>
      <c r="F6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href="canciones/lovg/la_chica_del_gorro_azul.html"&gt;La chica del gorro azul&lt;/a&gt;&lt;/li&gt;</v>
      </c>
    </row>
    <row r="62" spans="1:6" x14ac:dyDescent="0.3">
      <c r="A62" t="s">
        <v>155</v>
      </c>
      <c r="B62" t="s">
        <v>2597</v>
      </c>
      <c r="C62" t="s">
        <v>2600</v>
      </c>
      <c r="D62" s="1" t="s">
        <v>2570</v>
      </c>
      <c r="E6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la_esperanza_debida.html</v>
      </c>
      <c r="F6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href="canciones/lovg/la_esperanza_debida.html"&gt;La esperanza debida&lt;/a&gt;&lt;/li&gt;</v>
      </c>
    </row>
    <row r="63" spans="1:6" x14ac:dyDescent="0.3">
      <c r="A63" t="s">
        <v>156</v>
      </c>
      <c r="B63" t="s">
        <v>2597</v>
      </c>
      <c r="C63" t="s">
        <v>141</v>
      </c>
      <c r="D63" s="1" t="s">
        <v>2570</v>
      </c>
      <c r="E6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la_estrella_y_la_luna.html</v>
      </c>
      <c r="F6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href="canciones/lovg/la_estrella_y_la_luna.html"&gt;La estrella y la luna&lt;/a&gt;&lt;/li&gt;</v>
      </c>
    </row>
    <row r="64" spans="1:6" x14ac:dyDescent="0.3">
      <c r="A64" t="s">
        <v>1475</v>
      </c>
      <c r="B64" t="s">
        <v>2597</v>
      </c>
      <c r="C64" t="s">
        <v>2621</v>
      </c>
      <c r="D64" s="1" t="s">
        <v>2570</v>
      </c>
      <c r="E6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la_luz_que_nace_en_ti.html</v>
      </c>
      <c r="F6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data-album="Singles"&gt;&lt;a href="canciones/lovg/la_luz_que_nace_en_ti.html"&gt;La luz que nace en ti&lt;/a&gt;&lt;/li&gt;</v>
      </c>
    </row>
    <row r="65" spans="1:6" x14ac:dyDescent="0.3">
      <c r="A65" t="s">
        <v>208</v>
      </c>
      <c r="B65" t="s">
        <v>2597</v>
      </c>
      <c r="C65" t="s">
        <v>188</v>
      </c>
      <c r="D65" s="1" t="s">
        <v>2570</v>
      </c>
      <c r="E6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la_niña_que_llora_en_tus_fiestas.html</v>
      </c>
      <c r="F6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href="canciones/lovg/la_niña_que_llora_en_tus_fiestas.html"&gt;La niña que llora en tus fiestas&lt;/a&gt;&lt;/li&gt;</v>
      </c>
    </row>
    <row r="66" spans="1:6" x14ac:dyDescent="0.3">
      <c r="A66" t="s">
        <v>157</v>
      </c>
      <c r="B66" t="s">
        <v>2597</v>
      </c>
      <c r="C66" t="s">
        <v>2604</v>
      </c>
      <c r="D66" s="1" t="s">
        <v>2570</v>
      </c>
      <c r="E6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la_paz_de_tus_ojos.html</v>
      </c>
      <c r="F6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dormida, Más guapa"&gt;&lt;a href="canciones/lovg/la_paz_de_tus_ojos.html"&gt;La paz de tus ojos&lt;/a&gt;&lt;/li&gt;</v>
      </c>
    </row>
    <row r="67" spans="1:6" x14ac:dyDescent="0.3">
      <c r="A67" t="s">
        <v>158</v>
      </c>
      <c r="B67" t="s">
        <v>2597</v>
      </c>
      <c r="C67" t="s">
        <v>2610</v>
      </c>
      <c r="D67" s="1" t="s">
        <v>2570</v>
      </c>
      <c r="E6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la_playa.html</v>
      </c>
      <c r="F6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Copperpot, Nuestra casa a la izquierda del tiempo"&gt;&lt;a href="canciones/lovg/la_playa.html"&gt;La playa&lt;/a&gt;&lt;/li&gt;</v>
      </c>
    </row>
    <row r="68" spans="1:6" x14ac:dyDescent="0.3">
      <c r="A68" t="s">
        <v>209</v>
      </c>
      <c r="B68" t="s">
        <v>2597</v>
      </c>
      <c r="C68" t="s">
        <v>2607</v>
      </c>
      <c r="D68" s="1" t="s">
        <v>2570</v>
      </c>
      <c r="E6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la_primera_version.html</v>
      </c>
      <c r="F6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href="canciones/lovg/la_primera_version.html"&gt;La primera versión&lt;/a&gt;&lt;/li&gt;</v>
      </c>
    </row>
    <row r="69" spans="1:6" x14ac:dyDescent="0.3">
      <c r="A69" t="s">
        <v>210</v>
      </c>
      <c r="B69" t="s">
        <v>2597</v>
      </c>
      <c r="C69" t="s">
        <v>2607</v>
      </c>
      <c r="D69" s="1" t="s">
        <v>2570</v>
      </c>
      <c r="E6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la_visita.html</v>
      </c>
      <c r="F6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href="canciones/lovg/la_visita.html"&gt;La visita&lt;/a&gt;&lt;/li&gt;</v>
      </c>
    </row>
    <row r="70" spans="1:6" x14ac:dyDescent="0.3">
      <c r="A70" t="s">
        <v>211</v>
      </c>
      <c r="B70" t="s">
        <v>2597</v>
      </c>
      <c r="C70" t="s">
        <v>188</v>
      </c>
      <c r="D70" s="1" t="s">
        <v>2570</v>
      </c>
      <c r="E7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las_noches_que_no_mueren.html</v>
      </c>
      <c r="F7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href="canciones/lovg/las_noches_que_no_mueren.html"&gt;Las noches que no mueren&lt;/a&gt;&lt;/li&gt;</v>
      </c>
    </row>
    <row r="71" spans="1:6" x14ac:dyDescent="0.3">
      <c r="A71" t="s">
        <v>2598</v>
      </c>
      <c r="B71" t="s">
        <v>2597</v>
      </c>
      <c r="C71" t="s">
        <v>141</v>
      </c>
      <c r="E7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lloran_piedras.html</v>
      </c>
      <c r="F7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href="canciones/lovg/lloran_piedras.html"&gt;Lloran piedras&lt;/a&gt;&lt;/li&gt;</v>
      </c>
    </row>
    <row r="72" spans="1:6" x14ac:dyDescent="0.3">
      <c r="A72" t="s">
        <v>1235</v>
      </c>
      <c r="B72" t="s">
        <v>2597</v>
      </c>
      <c r="C72" t="s">
        <v>2619</v>
      </c>
      <c r="D72" s="1" t="s">
        <v>2570</v>
      </c>
      <c r="E7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lo_ves.html</v>
      </c>
      <c r="F7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href="canciones/lovg/lo_ves.html"&gt;Lo ves&lt;/a&gt;&lt;/li&gt;</v>
      </c>
    </row>
    <row r="73" spans="1:6" x14ac:dyDescent="0.3">
      <c r="A73" t="s">
        <v>2614</v>
      </c>
      <c r="B73" t="s">
        <v>2597</v>
      </c>
      <c r="C73" t="s">
        <v>2615</v>
      </c>
      <c r="E7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loa_loa.html</v>
      </c>
      <c r="F7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data-album="Nuestra casa a la izquierda del tiempo"&gt;&lt;a href="canciones/lovg/loa_loa.html"&gt;Loa loa&lt;/a&gt;&lt;/li&gt;</v>
      </c>
    </row>
    <row r="74" spans="1:6" x14ac:dyDescent="0.3">
      <c r="A74" t="s">
        <v>159</v>
      </c>
      <c r="B74" t="s">
        <v>2597</v>
      </c>
      <c r="C74" t="s">
        <v>2599</v>
      </c>
      <c r="D74" s="1" t="s">
        <v>2570</v>
      </c>
      <c r="E7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los_amantes_del_circulo_polar.html</v>
      </c>
      <c r="F7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href="canciones/lovg/los_amantes_del_circulo_polar.html"&gt;Los amantes del círculo polar&lt;/a&gt;&lt;/li&gt;</v>
      </c>
    </row>
    <row r="75" spans="1:6" x14ac:dyDescent="0.3">
      <c r="A75" t="s">
        <v>160</v>
      </c>
      <c r="B75" t="s">
        <v>2597</v>
      </c>
      <c r="C75" t="s">
        <v>2601</v>
      </c>
      <c r="D75" s="1" t="s">
        <v>2570</v>
      </c>
      <c r="E7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manhattan.html</v>
      </c>
      <c r="F7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href="canciones/lovg/manhattan.html"&gt;Manhattan&lt;/a&gt;&lt;/li&gt;</v>
      </c>
    </row>
    <row r="76" spans="1:6" x14ac:dyDescent="0.3">
      <c r="A76" t="s">
        <v>212</v>
      </c>
      <c r="B76" t="s">
        <v>2597</v>
      </c>
      <c r="C76" t="s">
        <v>2620</v>
      </c>
      <c r="D76" s="1" t="s">
        <v>2570</v>
      </c>
      <c r="E7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maria.html</v>
      </c>
      <c r="F7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data-album="Primera fila"&gt;&lt;a href="canciones/lovg/maria.html"&gt;María&lt;/a&gt;&lt;/li&gt;</v>
      </c>
    </row>
    <row r="77" spans="1:6" x14ac:dyDescent="0.3">
      <c r="A77" t="s">
        <v>161</v>
      </c>
      <c r="B77" t="s">
        <v>2597</v>
      </c>
      <c r="C77" t="s">
        <v>2599</v>
      </c>
      <c r="D77" s="1" t="s">
        <v>2570</v>
      </c>
      <c r="E7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mariposa.html</v>
      </c>
      <c r="F7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href="canciones/lovg/mariposa.html"&gt;Mariposa&lt;/a&gt;&lt;/li&gt;</v>
      </c>
    </row>
    <row r="78" spans="1:6" x14ac:dyDescent="0.3">
      <c r="A78" t="s">
        <v>213</v>
      </c>
      <c r="B78" t="s">
        <v>2597</v>
      </c>
      <c r="C78" t="s">
        <v>2607</v>
      </c>
      <c r="D78" s="1" t="s">
        <v>2570</v>
      </c>
      <c r="E7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mas.html</v>
      </c>
      <c r="F7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href="canciones/lovg/mas.html"&gt;Más&lt;/a&gt;&lt;/li&gt;</v>
      </c>
    </row>
    <row r="79" spans="1:6" x14ac:dyDescent="0.3">
      <c r="A79" t="s">
        <v>1474</v>
      </c>
      <c r="B79" t="s">
        <v>2597</v>
      </c>
      <c r="C79" t="s">
        <v>188</v>
      </c>
      <c r="D79" s="1" t="s">
        <v>2570</v>
      </c>
      <c r="E7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me_falta_el_aire.html</v>
      </c>
      <c r="F7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href="canciones/lovg/me_falta_el_aire.html"&gt;Me falta el aire&lt;/a&gt;&lt;/li&gt;</v>
      </c>
    </row>
    <row r="80" spans="1:6" x14ac:dyDescent="0.3">
      <c r="A80" t="s">
        <v>1242</v>
      </c>
      <c r="B80" t="s">
        <v>2597</v>
      </c>
      <c r="C80" t="s">
        <v>2619</v>
      </c>
      <c r="D80" s="1" t="s">
        <v>2570</v>
      </c>
      <c r="E8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me_voy_de_fiesta.html</v>
      </c>
      <c r="F8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href="canciones/lovg/me_voy_de_fiesta.html"&gt;Me voy de fiesta&lt;/a&gt;&lt;/li&gt;</v>
      </c>
    </row>
    <row r="81" spans="1:6" x14ac:dyDescent="0.3">
      <c r="A81" t="s">
        <v>1241</v>
      </c>
      <c r="B81" t="s">
        <v>2597</v>
      </c>
      <c r="C81" t="s">
        <v>2619</v>
      </c>
      <c r="D81" s="1" t="s">
        <v>2570</v>
      </c>
      <c r="E8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menos_tu.html</v>
      </c>
      <c r="F8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href="canciones/lovg/menos_tu.html"&gt;Menos tú&lt;/a&gt;&lt;/li&gt;</v>
      </c>
    </row>
    <row r="82" spans="1:6" x14ac:dyDescent="0.3">
      <c r="A82" t="s">
        <v>214</v>
      </c>
      <c r="B82" t="s">
        <v>2597</v>
      </c>
      <c r="C82" t="s">
        <v>188</v>
      </c>
      <c r="D82" s="1" t="s">
        <v>2570</v>
      </c>
      <c r="E8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mi_calle_es_nueva_york.html</v>
      </c>
      <c r="F8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href="canciones/lovg/mi_calle_es_nueva_york.html"&gt;Mi calle es Nueva York&lt;/a&gt;&lt;/li&gt;</v>
      </c>
    </row>
    <row r="83" spans="1:6" x14ac:dyDescent="0.3">
      <c r="A83" t="s">
        <v>215</v>
      </c>
      <c r="B83" t="s">
        <v>2597</v>
      </c>
      <c r="C83" t="s">
        <v>2618</v>
      </c>
      <c r="D83" s="1" t="s">
        <v>2570</v>
      </c>
      <c r="E8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mi_pequeño_gran_valiente.html</v>
      </c>
      <c r="F8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href="canciones/lovg/mi_pequeño_gran_valiente.html"&gt;Mi pequeño gran valiente&lt;/a&gt;&lt;/li&gt;</v>
      </c>
    </row>
    <row r="84" spans="1:6" x14ac:dyDescent="0.3">
      <c r="A84" t="s">
        <v>162</v>
      </c>
      <c r="B84" t="s">
        <v>2597</v>
      </c>
      <c r="C84" t="s">
        <v>2601</v>
      </c>
      <c r="D84" s="1" t="s">
        <v>2570</v>
      </c>
      <c r="E8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mi_vida_sin_ti.html</v>
      </c>
      <c r="F8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href="canciones/lovg/mi_vida_sin_ti.html"&gt;Mi vida sin ti&lt;/a&gt;&lt;/li&gt;</v>
      </c>
    </row>
    <row r="85" spans="1:6" x14ac:dyDescent="0.3">
      <c r="A85" t="s">
        <v>216</v>
      </c>
      <c r="B85" t="s">
        <v>2597</v>
      </c>
      <c r="C85" t="s">
        <v>188</v>
      </c>
      <c r="D85" s="1" t="s">
        <v>2570</v>
      </c>
      <c r="E8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mientras_quede_por_decir_una_palabra.html</v>
      </c>
      <c r="F8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href="canciones/lovg/mientras_quede_por_decir_una_palabra.html"&gt;Mientras quede por decir una palabra&lt;/a&gt;&lt;/li&gt;</v>
      </c>
    </row>
    <row r="86" spans="1:6" x14ac:dyDescent="0.3">
      <c r="A86" t="s">
        <v>163</v>
      </c>
      <c r="B86" t="s">
        <v>2597</v>
      </c>
      <c r="C86" t="s">
        <v>2616</v>
      </c>
      <c r="D86" s="1" t="s">
        <v>2570</v>
      </c>
      <c r="E8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muñeca_de_trapo.html</v>
      </c>
      <c r="F8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data-album="Guapa, Nuestra casa a la izquierda del tiempo"&gt;&lt;a href="canciones/lovg/muñeca_de_trapo.html"&gt;Muñeca de trapo&lt;/a&gt;&lt;/li&gt;</v>
      </c>
    </row>
    <row r="87" spans="1:6" x14ac:dyDescent="0.3">
      <c r="A87" t="s">
        <v>164</v>
      </c>
      <c r="B87" t="s">
        <v>2597</v>
      </c>
      <c r="C87" t="s">
        <v>2600</v>
      </c>
      <c r="D87" s="1" t="s">
        <v>2570</v>
      </c>
      <c r="E8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nadie_como_tu.html</v>
      </c>
      <c r="F8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href="canciones/lovg/nadie_como_tu.html"&gt;Nadie como tú&lt;/a&gt;&lt;/li&gt;</v>
      </c>
    </row>
    <row r="88" spans="1:6" x14ac:dyDescent="0.3">
      <c r="A88" t="s">
        <v>217</v>
      </c>
      <c r="B88" t="s">
        <v>2597</v>
      </c>
      <c r="C88" t="s">
        <v>2618</v>
      </c>
      <c r="D88" s="1" t="s">
        <v>2570</v>
      </c>
      <c r="E8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no_vales_mas_que_yo.html</v>
      </c>
      <c r="F8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href="canciones/lovg/no_vales_mas_que_yo.html"&gt;No vales más que yo&lt;/a&gt;&lt;/li&gt;</v>
      </c>
    </row>
    <row r="89" spans="1:6" x14ac:dyDescent="0.3">
      <c r="A89" t="s">
        <v>165</v>
      </c>
      <c r="B89" t="s">
        <v>2597</v>
      </c>
      <c r="C89" t="s">
        <v>2601</v>
      </c>
      <c r="D89" s="1" t="s">
        <v>2570</v>
      </c>
      <c r="E8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noche.html</v>
      </c>
      <c r="F8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href="canciones/lovg/noche.html"&gt;Noche&lt;/a&gt;&lt;/li&gt;</v>
      </c>
    </row>
    <row r="90" spans="1:6" x14ac:dyDescent="0.3">
      <c r="A90" t="s">
        <v>166</v>
      </c>
      <c r="B90" t="s">
        <v>2597</v>
      </c>
      <c r="C90" t="s">
        <v>2602</v>
      </c>
      <c r="D90" s="1" t="s">
        <v>2570</v>
      </c>
      <c r="E9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nube.html</v>
      </c>
      <c r="F9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href="canciones/lovg/nube.html"&gt;Nube&lt;/a&gt;&lt;/li&gt;</v>
      </c>
    </row>
    <row r="91" spans="1:6" x14ac:dyDescent="0.3">
      <c r="A91" t="s">
        <v>167</v>
      </c>
      <c r="B91" t="s">
        <v>2597</v>
      </c>
      <c r="C91" t="s">
        <v>2602</v>
      </c>
      <c r="D91" s="1" t="s">
        <v>2570</v>
      </c>
      <c r="E9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nuestro_mundo.html</v>
      </c>
      <c r="F9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data-album="Más guapa"&gt;&lt;a href="canciones/lovg/nuestro_mundo.html"&gt;Nuestro mundo&lt;/a&gt;&lt;/li&gt;</v>
      </c>
    </row>
    <row r="92" spans="1:6" x14ac:dyDescent="0.3">
      <c r="A92" t="s">
        <v>218</v>
      </c>
      <c r="B92" t="s">
        <v>2597</v>
      </c>
      <c r="C92" t="s">
        <v>2621</v>
      </c>
      <c r="D92" s="1" t="s">
        <v>2570</v>
      </c>
      <c r="E9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otra_vez_me_has_sacado_a_bailar.html</v>
      </c>
      <c r="F9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data-album="Singles"&gt;&lt;a href="canciones/lovg/otra_vez_me_has_sacado_a_bailar.html"&gt;Otra vez me has sacado a bailar&lt;/a&gt;&lt;/li&gt;</v>
      </c>
    </row>
    <row r="93" spans="1:6" x14ac:dyDescent="0.3">
      <c r="A93" t="s">
        <v>219</v>
      </c>
      <c r="B93" t="s">
        <v>2597</v>
      </c>
      <c r="C93" t="s">
        <v>2607</v>
      </c>
      <c r="D93" s="1" t="s">
        <v>2570</v>
      </c>
      <c r="E9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palabras_para_paula.html</v>
      </c>
      <c r="F9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href="canciones/lovg/palabras_para_paula.html"&gt;Palabras para Paula&lt;/a&gt;&lt;/li&gt;</v>
      </c>
    </row>
    <row r="94" spans="1:6" x14ac:dyDescent="0.3">
      <c r="A94" t="s">
        <v>220</v>
      </c>
      <c r="B94" t="s">
        <v>2597</v>
      </c>
      <c r="C94" t="s">
        <v>2618</v>
      </c>
      <c r="D94" s="1" t="s">
        <v>2570</v>
      </c>
      <c r="E9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palida_luna.html</v>
      </c>
      <c r="F9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href="canciones/lovg/palida_luna.html"&gt;Pálida luna&lt;/a&gt;&lt;/li&gt;</v>
      </c>
    </row>
    <row r="95" spans="1:6" x14ac:dyDescent="0.3">
      <c r="A95" t="s">
        <v>221</v>
      </c>
      <c r="B95" t="s">
        <v>2597</v>
      </c>
      <c r="C95" t="s">
        <v>188</v>
      </c>
      <c r="D95" s="1" t="s">
        <v>2570</v>
      </c>
      <c r="E9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paloma_blanca.html</v>
      </c>
      <c r="F9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href="canciones/lovg/paloma_blanca.html"&gt;Paloma blanca&lt;/a&gt;&lt;/li&gt;</v>
      </c>
    </row>
    <row r="96" spans="1:6" x14ac:dyDescent="0.3">
      <c r="A96" t="s">
        <v>168</v>
      </c>
      <c r="B96" t="s">
        <v>2597</v>
      </c>
      <c r="C96" t="s">
        <v>2610</v>
      </c>
      <c r="D96" s="1" t="s">
        <v>2570</v>
      </c>
      <c r="E9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paris.html</v>
      </c>
      <c r="F9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Copperpot, Nuestra casa a la izquierda del tiempo"&gt;&lt;a href="canciones/lovg/paris.html"&gt;París&lt;/a&gt;&lt;/li&gt;</v>
      </c>
    </row>
    <row r="97" spans="1:6" x14ac:dyDescent="0.3">
      <c r="A97" t="s">
        <v>2609</v>
      </c>
      <c r="B97" t="s">
        <v>2597</v>
      </c>
      <c r="C97" t="s">
        <v>2607</v>
      </c>
      <c r="E9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pequeños_momentos.html</v>
      </c>
      <c r="F9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href="canciones/lovg/pequeños_momentos.html"&gt;Pequeños momentos&lt;/a&gt;&lt;/li&gt;</v>
      </c>
    </row>
    <row r="98" spans="1:6" x14ac:dyDescent="0.3">
      <c r="A98" t="s">
        <v>169</v>
      </c>
      <c r="B98" t="s">
        <v>2597</v>
      </c>
      <c r="C98" t="s">
        <v>2601</v>
      </c>
      <c r="D98" s="1" t="s">
        <v>2570</v>
      </c>
      <c r="E9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perdida.html</v>
      </c>
      <c r="F9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href="canciones/lovg/perdida.html"&gt;Perdida&lt;/a&gt;&lt;/li&gt;</v>
      </c>
    </row>
    <row r="99" spans="1:6" x14ac:dyDescent="0.3">
      <c r="A99" t="s">
        <v>170</v>
      </c>
      <c r="B99" t="s">
        <v>2597</v>
      </c>
      <c r="C99" t="s">
        <v>2600</v>
      </c>
      <c r="D99" s="1" t="s">
        <v>2570</v>
      </c>
      <c r="E9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perdoname.html</v>
      </c>
      <c r="F9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href="canciones/lovg/perdoname.html"&gt;Perdóname&lt;/a&gt;&lt;/li&gt;</v>
      </c>
    </row>
    <row r="100" spans="1:6" x14ac:dyDescent="0.3">
      <c r="A100" t="s">
        <v>171</v>
      </c>
      <c r="B100" t="s">
        <v>2597</v>
      </c>
      <c r="C100" t="s">
        <v>141</v>
      </c>
      <c r="D100" s="1" t="s">
        <v>2570</v>
      </c>
      <c r="E10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pesadilla.html</v>
      </c>
      <c r="F10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href="canciones/lovg/pesadilla.html"&gt;Pesadilla&lt;/a&gt;&lt;/li&gt;</v>
      </c>
    </row>
    <row r="101" spans="1:6" x14ac:dyDescent="0.3">
      <c r="A101" t="s">
        <v>172</v>
      </c>
      <c r="B101" t="s">
        <v>2597</v>
      </c>
      <c r="C101" t="s">
        <v>2599</v>
      </c>
      <c r="D101" s="1" t="s">
        <v>2570</v>
      </c>
      <c r="E10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pop.html</v>
      </c>
      <c r="F10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href="canciones/lovg/pop.html"&gt;Pop&lt;/a&gt;&lt;/li&gt;</v>
      </c>
    </row>
    <row r="102" spans="1:6" x14ac:dyDescent="0.3">
      <c r="A102" t="s">
        <v>222</v>
      </c>
      <c r="B102" t="s">
        <v>2597</v>
      </c>
      <c r="C102" t="s">
        <v>188</v>
      </c>
      <c r="D102" s="1" t="s">
        <v>2570</v>
      </c>
      <c r="E10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promesas_de_primavera.html</v>
      </c>
      <c r="F10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href="canciones/lovg/promesas_de_primavera.html"&gt;Promesas de primavera&lt;/a&gt;&lt;/li&gt;</v>
      </c>
    </row>
    <row r="103" spans="1:6" x14ac:dyDescent="0.3">
      <c r="A103" t="s">
        <v>173</v>
      </c>
      <c r="B103" t="s">
        <v>2597</v>
      </c>
      <c r="C103" t="s">
        <v>2613</v>
      </c>
      <c r="D103" s="1" t="s">
        <v>2570</v>
      </c>
      <c r="E10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puedes_contar_conmigo.html</v>
      </c>
      <c r="F10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dormida, Nuestra casa a la izquierda del tiempo"&gt;&lt;a href="canciones/lovg/puedes_contar_conmigo.html"&gt;Puedes contar conmigo&lt;/a&gt;&lt;/li&gt;</v>
      </c>
    </row>
    <row r="104" spans="1:6" x14ac:dyDescent="0.3">
      <c r="A104" t="s">
        <v>174</v>
      </c>
      <c r="B104" t="s">
        <v>2597</v>
      </c>
      <c r="C104" t="s">
        <v>141</v>
      </c>
      <c r="D104" s="1" t="s">
        <v>2570</v>
      </c>
      <c r="E10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que_puedo_pedir.html</v>
      </c>
      <c r="F10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href="canciones/lovg/que_puedo_pedir.html"&gt;Qué puedo pedir&lt;/a&gt;&lt;/li&gt;</v>
      </c>
    </row>
    <row r="105" spans="1:6" x14ac:dyDescent="0.3">
      <c r="A105" t="s">
        <v>175</v>
      </c>
      <c r="B105" t="s">
        <v>2597</v>
      </c>
      <c r="C105" t="s">
        <v>2613</v>
      </c>
      <c r="D105" s="1" t="s">
        <v>2570</v>
      </c>
      <c r="E10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rosas.html</v>
      </c>
      <c r="F10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dormida, Nuestra casa a la izquierda del tiempo"&gt;&lt;a href="canciones/lovg/rosas.html"&gt;Rosas&lt;/a&gt;&lt;/li&gt;</v>
      </c>
    </row>
    <row r="106" spans="1:6" x14ac:dyDescent="0.3">
      <c r="A106" t="s">
        <v>223</v>
      </c>
      <c r="B106" t="s">
        <v>2597</v>
      </c>
      <c r="C106" t="s">
        <v>2618</v>
      </c>
      <c r="D106" s="1" t="s">
        <v>2570</v>
      </c>
      <c r="E10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siempre.html</v>
      </c>
      <c r="F10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href="canciones/lovg/siempre.html"&gt;Siempre&lt;/a&gt;&lt;/li&gt;</v>
      </c>
    </row>
    <row r="107" spans="1:6" x14ac:dyDescent="0.3">
      <c r="A107" t="s">
        <v>1240</v>
      </c>
      <c r="B107" t="s">
        <v>2597</v>
      </c>
      <c r="C107" t="s">
        <v>2619</v>
      </c>
      <c r="D107" s="1" t="s">
        <v>2570</v>
      </c>
      <c r="E10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sirenas.html</v>
      </c>
      <c r="F10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href="canciones/lovg/sirenas.html"&gt;Sirenas&lt;/a&gt;&lt;/li&gt;</v>
      </c>
    </row>
    <row r="108" spans="1:6" x14ac:dyDescent="0.3">
      <c r="A108" t="s">
        <v>224</v>
      </c>
      <c r="B108" t="s">
        <v>2597</v>
      </c>
      <c r="C108" t="s">
        <v>2607</v>
      </c>
      <c r="D108" s="1" t="s">
        <v>2570</v>
      </c>
      <c r="E10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sola.html</v>
      </c>
      <c r="F10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href="canciones/lovg/sola.html"&gt;Sola&lt;/a&gt;&lt;/li&gt;</v>
      </c>
    </row>
    <row r="109" spans="1:6" x14ac:dyDescent="0.3">
      <c r="A109" t="s">
        <v>176</v>
      </c>
      <c r="B109" t="s">
        <v>2597</v>
      </c>
      <c r="C109" t="s">
        <v>2610</v>
      </c>
      <c r="D109" s="1" t="s">
        <v>2570</v>
      </c>
      <c r="E10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soledad.html</v>
      </c>
      <c r="F10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Copperpot, Nuestra casa a la izquierda del tiempo"&gt;&lt;a href="canciones/lovg/soledad.html"&gt;Soledad&lt;/a&gt;&lt;/li&gt;</v>
      </c>
    </row>
    <row r="110" spans="1:6" x14ac:dyDescent="0.3">
      <c r="A110" t="s">
        <v>177</v>
      </c>
      <c r="B110" t="s">
        <v>2597</v>
      </c>
      <c r="C110" t="s">
        <v>141</v>
      </c>
      <c r="D110" s="1" t="s">
        <v>2570</v>
      </c>
      <c r="E11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soñare.html</v>
      </c>
      <c r="F11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href="canciones/lovg/soñare.html"&gt;Soñaré&lt;/a&gt;&lt;/li&gt;</v>
      </c>
    </row>
    <row r="111" spans="1:6" x14ac:dyDescent="0.3">
      <c r="A111" t="s">
        <v>225</v>
      </c>
      <c r="B111" t="s">
        <v>2597</v>
      </c>
      <c r="C111" t="s">
        <v>2618</v>
      </c>
      <c r="D111" s="1" t="s">
        <v>2570</v>
      </c>
      <c r="E11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tan_guapa.html</v>
      </c>
      <c r="F11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href="canciones/lovg/tan_guapa.html"&gt;Tan guapa&lt;/a&gt;&lt;/li&gt;</v>
      </c>
    </row>
    <row r="112" spans="1:6" x14ac:dyDescent="0.3">
      <c r="A112" t="s">
        <v>178</v>
      </c>
      <c r="B112" t="s">
        <v>2597</v>
      </c>
      <c r="C112" t="s">
        <v>2599</v>
      </c>
      <c r="D112" s="1" t="s">
        <v>2570</v>
      </c>
      <c r="E11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tantas_cosas_que_contar.html</v>
      </c>
      <c r="F11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href="canciones/lovg/tantas_cosas_que_contar.html"&gt;Tantas cosas que contar&lt;/a&gt;&lt;/li&gt;</v>
      </c>
    </row>
    <row r="113" spans="1:6" x14ac:dyDescent="0.3">
      <c r="A113" t="s">
        <v>226</v>
      </c>
      <c r="B113" t="s">
        <v>2597</v>
      </c>
      <c r="C113" t="s">
        <v>2619</v>
      </c>
      <c r="D113" s="1" t="s">
        <v>2570</v>
      </c>
      <c r="E11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te_pareces_tanto_a_mi.html</v>
      </c>
      <c r="F11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data-album="Un susurro en la tormenta"&gt;&lt;a href="canciones/lovg/te_pareces_tanto_a_mi.html"&gt;Te pareces tanto a mí&lt;/a&gt;&lt;/li&gt;</v>
      </c>
    </row>
    <row r="114" spans="1:6" x14ac:dyDescent="0.3">
      <c r="A114" t="s">
        <v>179</v>
      </c>
      <c r="B114" t="s">
        <v>2597</v>
      </c>
      <c r="C114" t="s">
        <v>2599</v>
      </c>
      <c r="D114" s="1" t="s">
        <v>2570</v>
      </c>
      <c r="E11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tic_tac.html</v>
      </c>
      <c r="F11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href="canciones/lovg/tic_tac.html"&gt;Tic, tac&lt;/a&gt;&lt;/li&gt;</v>
      </c>
    </row>
    <row r="115" spans="1:6" x14ac:dyDescent="0.3">
      <c r="A115" t="s">
        <v>180</v>
      </c>
      <c r="B115" t="s">
        <v>2597</v>
      </c>
      <c r="C115" t="s">
        <v>2599</v>
      </c>
      <c r="D115" s="1" t="s">
        <v>2570</v>
      </c>
      <c r="E11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tu_pelo.html</v>
      </c>
      <c r="F11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viaje de Copperpot"&gt;&lt;a href="canciones/lovg/tu_pelo.html"&gt;Tu pelo&lt;/a&gt;&lt;/li&gt;</v>
      </c>
    </row>
    <row r="116" spans="1:6" x14ac:dyDescent="0.3">
      <c r="A116" t="s">
        <v>115</v>
      </c>
      <c r="B116" t="s">
        <v>2597</v>
      </c>
      <c r="C116" t="s">
        <v>2600</v>
      </c>
      <c r="D116" s="1" t="s">
        <v>2570</v>
      </c>
      <c r="E11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tu_y_yo.html</v>
      </c>
      <c r="F11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href="canciones/lovg/tu_y_yo.html"&gt;Tú y yo&lt;/a&gt;&lt;/li&gt;</v>
      </c>
    </row>
    <row r="117" spans="1:6" x14ac:dyDescent="0.3">
      <c r="A117" t="s">
        <v>227</v>
      </c>
      <c r="B117" t="s">
        <v>2597</v>
      </c>
      <c r="C117" t="s">
        <v>2607</v>
      </c>
      <c r="D117" s="1" t="s">
        <v>2570</v>
      </c>
      <c r="E117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un_cuento_sobre_el_agua.html</v>
      </c>
      <c r="F117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href="canciones/lovg/un_cuento_sobre_el_agua.html"&gt;Un cuento sobre el agua&lt;/a&gt;&lt;/li&gt;</v>
      </c>
    </row>
    <row r="118" spans="1:6" x14ac:dyDescent="0.3">
      <c r="A118" t="s">
        <v>228</v>
      </c>
      <c r="B118" t="s">
        <v>2597</v>
      </c>
      <c r="C118" t="s">
        <v>188</v>
      </c>
      <c r="D118" s="1" t="s">
        <v>2570</v>
      </c>
      <c r="E118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un_minuto_mas.html</v>
      </c>
      <c r="F118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data-album="Cometas por el cielo"&gt;&lt;a href="canciones/lovg/un_minuto_mas.html"&gt;Un minuto más&lt;/a&gt;&lt;/li&gt;</v>
      </c>
    </row>
    <row r="119" spans="1:6" x14ac:dyDescent="0.3">
      <c r="A119" t="s">
        <v>181</v>
      </c>
      <c r="B119" t="s">
        <v>2597</v>
      </c>
      <c r="C119" t="s">
        <v>2600</v>
      </c>
      <c r="D119" s="1" t="s">
        <v>2570</v>
      </c>
      <c r="E119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un_mundo_mejor.html</v>
      </c>
      <c r="F119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href="canciones/lovg/un_mundo_mejor.html"&gt;Un mundo mejor&lt;/a&gt;&lt;/li&gt;</v>
      </c>
    </row>
    <row r="120" spans="1:6" x14ac:dyDescent="0.3">
      <c r="A120" t="s">
        <v>229</v>
      </c>
      <c r="B120" t="s">
        <v>2597</v>
      </c>
      <c r="C120" t="s">
        <v>2620</v>
      </c>
      <c r="D120" s="1" t="s">
        <v>2570</v>
      </c>
      <c r="E120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una_y_otra_vez.html</v>
      </c>
      <c r="F120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data-album="Primera fila"&gt;&lt;a href="canciones/lovg/una_y_otra_vez.html"&gt;Una y otra vez&lt;/a&gt;&lt;/li&gt;</v>
      </c>
    </row>
    <row r="121" spans="1:6" x14ac:dyDescent="0.3">
      <c r="A121" t="s">
        <v>182</v>
      </c>
      <c r="B121" t="s">
        <v>2597</v>
      </c>
      <c r="C121" t="s">
        <v>2603</v>
      </c>
      <c r="D121" s="1" t="s">
        <v>2570</v>
      </c>
      <c r="E121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v.o.s..html</v>
      </c>
      <c r="F121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data-album="Guapa, Más guapa"&gt;&lt;a href="canciones/lovg/v.o.s..html"&gt;V.O.S.&lt;/a&gt;&lt;/li&gt;</v>
      </c>
    </row>
    <row r="122" spans="1:6" x14ac:dyDescent="0.3">
      <c r="A122" t="s">
        <v>2608</v>
      </c>
      <c r="B122" t="s">
        <v>2597</v>
      </c>
      <c r="C122" t="s">
        <v>2607</v>
      </c>
      <c r="E122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veinte_penas.html</v>
      </c>
      <c r="F122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data-album="A las cinco en el Astoria"&gt;&lt;a href="canciones/lovg/veinte_penas.html"&gt;Veinte penas&lt;/a&gt;&lt;/li&gt;</v>
      </c>
    </row>
    <row r="123" spans="1:6" x14ac:dyDescent="0.3">
      <c r="A123" t="s">
        <v>230</v>
      </c>
      <c r="B123" t="s">
        <v>2597</v>
      </c>
      <c r="C123" t="s">
        <v>2618</v>
      </c>
      <c r="D123" s="1" t="s">
        <v>2570</v>
      </c>
      <c r="E123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verano.html</v>
      </c>
      <c r="F123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data-album="El planeta imaginario"&gt;&lt;a href="canciones/lovg/verano.html"&gt;Verano&lt;/a&gt;&lt;/li&gt;</v>
      </c>
    </row>
    <row r="124" spans="1:6" x14ac:dyDescent="0.3">
      <c r="A124" t="s">
        <v>183</v>
      </c>
      <c r="B124" t="s">
        <v>2597</v>
      </c>
      <c r="C124" t="s">
        <v>2600</v>
      </c>
      <c r="D124" s="1" t="s">
        <v>2570</v>
      </c>
      <c r="E124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vestido_azul.html</v>
      </c>
      <c r="F124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data-album="Lo que te conté mientras te hacías la dormida"&gt;&lt;a href="canciones/lovg/vestido_azul.html"&gt;Vestido azul&lt;/a&gt;&lt;/li&gt;</v>
      </c>
    </row>
    <row r="125" spans="1:6" x14ac:dyDescent="0.3">
      <c r="A125" t="s">
        <v>184</v>
      </c>
      <c r="B125" t="s">
        <v>2597</v>
      </c>
      <c r="C125" t="s">
        <v>141</v>
      </c>
      <c r="D125" s="1" t="s">
        <v>2570</v>
      </c>
      <c r="E125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viejo_cuento.html</v>
      </c>
      <c r="F125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data-album="Dile al sol"&gt;&lt;a href="canciones/lovg/viejo_cuento.html"&gt;Viejo cuento&lt;/a&gt;&lt;/li&gt;</v>
      </c>
    </row>
    <row r="126" spans="1:6" x14ac:dyDescent="0.3">
      <c r="A126" t="s">
        <v>185</v>
      </c>
      <c r="B126" t="s">
        <v>2597</v>
      </c>
      <c r="C126" t="s">
        <v>2601</v>
      </c>
      <c r="D126" s="1" t="s">
        <v>2570</v>
      </c>
      <c r="E126" t="str">
        <f>SUBSTITUTE(SUBSTITUTE(SUBSTITUTE(SUBSTITUTE(SUBSTITUTE(SUBSTITUTE(SUBSTITUTE(SUBSTITUTE(SUBSTITUTE(SUBSTITUTE(SUBSTITUTE(LOWER(LOVG[[#This Row],[Título]]),"á","a"),"é","e"),"í","i"),"ó","o"),"ú","u")," ","_"),"¿",""),"?",""),"¡",""),"!",""),",","")&amp;".html"</f>
        <v>vuelve.html</v>
      </c>
      <c r="F126" t="str">
        <f>"&lt;li data-author="""&amp;LOVG[[#This Row],[Autor]]&amp;""" data-album="""&amp;LOVG[[#This Row],[Álbum]]&amp;"""&gt;&lt;a href=""canciones/"&amp;"lovg"&amp;"/"&amp;LOVG[[#This Row],[ruta]]&amp;"""&gt;"&amp;LOVG[[#This Row],[Título]]&amp;"&lt;/a&gt;&lt;/li&gt;"</f>
        <v>&lt;li data-author="LOVG" data-album="Guapa"&gt;&lt;a href="canciones/lovg/vuelve.html"&gt;Vuelve&lt;/a&gt;&lt;/li&gt;</v>
      </c>
    </row>
  </sheetData>
  <conditionalFormatting sqref="D1:D1048576">
    <cfRule type="containsText" dxfId="1" priority="1" operator="containsText" text="OK">
      <formula>NOT(ISERROR(SEARCH("OK",D1)))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55F3-EC86-4BB1-87A9-2EDB2E46AAA2}">
  <dimension ref="A1:F126"/>
  <sheetViews>
    <sheetView workbookViewId="0">
      <selection activeCell="D11" sqref="D11"/>
    </sheetView>
  </sheetViews>
  <sheetFormatPr baseColWidth="10" defaultRowHeight="14.4" x14ac:dyDescent="0.3"/>
  <cols>
    <col min="1" max="1" width="33.6640625" bestFit="1" customWidth="1"/>
    <col min="2" max="2" width="14.109375" bestFit="1" customWidth="1"/>
    <col min="3" max="3" width="36" customWidth="1"/>
    <col min="4" max="4" width="7.109375" bestFit="1" customWidth="1"/>
    <col min="5" max="5" width="40.6640625" bestFit="1" customWidth="1"/>
    <col min="6" max="6" width="125.6640625" bestFit="1" customWidth="1"/>
  </cols>
  <sheetData>
    <row r="1" spans="1:6" x14ac:dyDescent="0.3">
      <c r="A1" t="s">
        <v>2479</v>
      </c>
      <c r="B1" t="s">
        <v>2571</v>
      </c>
      <c r="C1" t="s">
        <v>2480</v>
      </c>
      <c r="D1" t="s">
        <v>2481</v>
      </c>
      <c r="E1" t="s">
        <v>2482</v>
      </c>
      <c r="F1" t="s">
        <v>2265</v>
      </c>
    </row>
    <row r="2" spans="1:6" x14ac:dyDescent="0.3">
      <c r="A2" s="3">
        <v>1997</v>
      </c>
      <c r="B2" t="s">
        <v>232</v>
      </c>
      <c r="C2" t="s">
        <v>232</v>
      </c>
      <c r="D2" s="14" t="s">
        <v>2656</v>
      </c>
      <c r="E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1997.html</v>
      </c>
      <c r="F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href="canciones/revolver/1997.html"&gt;1997&lt;/a&gt;&lt;/li&gt;</v>
      </c>
    </row>
    <row r="3" spans="1:6" x14ac:dyDescent="0.3">
      <c r="A3" s="3" t="s">
        <v>233</v>
      </c>
      <c r="B3" t="s">
        <v>232</v>
      </c>
      <c r="C3" t="s">
        <v>297</v>
      </c>
      <c r="D3" s="14" t="s">
        <v>2656</v>
      </c>
      <c r="E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500_vidas.html</v>
      </c>
      <c r="F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href="canciones/revolver/500_vidas.html"&gt;500 vidas&lt;/a&gt;&lt;/li&gt;</v>
      </c>
    </row>
    <row r="4" spans="1:6" x14ac:dyDescent="0.3">
      <c r="A4" s="3" t="s">
        <v>2642</v>
      </c>
      <c r="B4" t="s">
        <v>232</v>
      </c>
      <c r="C4" t="s">
        <v>2655</v>
      </c>
      <c r="D4" s="14"/>
      <c r="E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ahi_estas.html</v>
      </c>
      <c r="F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href="canciones/revolver/ahi_estas.html"&gt;Ahí estás&lt;/a&gt;&lt;/li&gt;</v>
      </c>
    </row>
    <row r="5" spans="1:6" x14ac:dyDescent="0.3">
      <c r="A5" s="3" t="s">
        <v>234</v>
      </c>
      <c r="B5" t="s">
        <v>232</v>
      </c>
      <c r="C5" t="s">
        <v>2640</v>
      </c>
      <c r="D5" s="14" t="s">
        <v>2656</v>
      </c>
      <c r="E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al_final.html</v>
      </c>
      <c r="F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data-album="Single"&gt;&lt;a href="canciones/revolver/al_final.html"&gt;Al final&lt;/a&gt;&lt;/li&gt;</v>
      </c>
    </row>
    <row r="6" spans="1:6" x14ac:dyDescent="0.3">
      <c r="A6" s="3" t="s">
        <v>235</v>
      </c>
      <c r="B6" t="s">
        <v>232</v>
      </c>
      <c r="C6" t="s">
        <v>2638</v>
      </c>
      <c r="D6" s="14" t="s">
        <v>2656</v>
      </c>
      <c r="E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alerta.html</v>
      </c>
      <c r="F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href="canciones/revolver/alerta.html"&gt;Alerta&lt;/a&gt;&lt;/li&gt;</v>
      </c>
    </row>
    <row r="7" spans="1:6" x14ac:dyDescent="0.3">
      <c r="A7" s="3" t="s">
        <v>236</v>
      </c>
      <c r="B7" t="s">
        <v>232</v>
      </c>
      <c r="C7" t="s">
        <v>272</v>
      </c>
      <c r="D7" s="14" t="s">
        <v>2656</v>
      </c>
      <c r="E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antartida.html</v>
      </c>
      <c r="F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href="canciones/revolver/antartida.html"&gt;Antártida&lt;/a&gt;&lt;/li&gt;</v>
      </c>
    </row>
    <row r="8" spans="1:6" x14ac:dyDescent="0.3">
      <c r="A8" s="3" t="s">
        <v>237</v>
      </c>
      <c r="B8" t="s">
        <v>232</v>
      </c>
      <c r="C8" t="s">
        <v>270</v>
      </c>
      <c r="D8" s="14" t="s">
        <v>2656</v>
      </c>
      <c r="E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biarritz.html</v>
      </c>
      <c r="F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href="canciones/revolver/biarritz.html"&gt;Biarritz&lt;/a&gt;&lt;/li&gt;</v>
      </c>
    </row>
    <row r="9" spans="1:6" x14ac:dyDescent="0.3">
      <c r="A9" s="6" t="s">
        <v>597</v>
      </c>
      <c r="B9" t="s">
        <v>232</v>
      </c>
      <c r="C9" t="s">
        <v>2639</v>
      </c>
      <c r="D9" s="14"/>
      <c r="E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bien_alta_la_mirada.html</v>
      </c>
      <c r="F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href="canciones/revolver/bien_alta_la_mirada.html"&gt;Bien alta la mirada&lt;/a&gt;&lt;/li&gt;</v>
      </c>
    </row>
    <row r="10" spans="1:6" x14ac:dyDescent="0.3">
      <c r="A10" s="3" t="s">
        <v>238</v>
      </c>
      <c r="B10" t="s">
        <v>232</v>
      </c>
      <c r="C10" t="s">
        <v>996</v>
      </c>
      <c r="D10" s="14" t="s">
        <v>2656</v>
      </c>
      <c r="E1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big_bang.html</v>
      </c>
      <c r="F1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href="canciones/revolver/big_bang.html"&gt;Big Bang&lt;/a&gt;&lt;/li&gt;</v>
      </c>
    </row>
    <row r="11" spans="1:6" x14ac:dyDescent="0.3">
      <c r="A11" s="3" t="s">
        <v>239</v>
      </c>
      <c r="B11" t="s">
        <v>232</v>
      </c>
      <c r="C11" t="s">
        <v>321</v>
      </c>
      <c r="D11" s="14"/>
      <c r="E1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botas_de_terciopelo.html</v>
      </c>
      <c r="F1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href="canciones/revolver/botas_de_terciopelo.html"&gt;Botas de terciopelo&lt;/a&gt;&lt;/li&gt;</v>
      </c>
    </row>
    <row r="12" spans="1:6" x14ac:dyDescent="0.3">
      <c r="A12" s="3" t="s">
        <v>240</v>
      </c>
      <c r="B12" t="s">
        <v>232</v>
      </c>
      <c r="C12" t="s">
        <v>321</v>
      </c>
      <c r="D12" s="14"/>
      <c r="E1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cabecita_loca.html</v>
      </c>
      <c r="F1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href="canciones/revolver/cabecita_loca.html"&gt;Cabecita loca&lt;/a&gt;&lt;/li&gt;</v>
      </c>
    </row>
    <row r="13" spans="1:6" x14ac:dyDescent="0.3">
      <c r="A13" s="3" t="s">
        <v>241</v>
      </c>
      <c r="B13" t="s">
        <v>232</v>
      </c>
      <c r="C13" t="s">
        <v>232</v>
      </c>
      <c r="D13" s="14"/>
      <c r="E1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cara_a_cara.html</v>
      </c>
      <c r="F1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href="canciones/revolver/cara_a_cara.html"&gt;Cara a cara&lt;/a&gt;&lt;/li&gt;</v>
      </c>
    </row>
    <row r="14" spans="1:6" x14ac:dyDescent="0.3">
      <c r="A14" s="3" t="s">
        <v>242</v>
      </c>
      <c r="B14" t="s">
        <v>232</v>
      </c>
      <c r="C14" t="s">
        <v>297</v>
      </c>
      <c r="D14" s="14"/>
      <c r="E1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cazador.html</v>
      </c>
      <c r="F1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href="canciones/revolver/cazador.html"&gt;Cazador&lt;/a&gt;&lt;/li&gt;</v>
      </c>
    </row>
    <row r="15" spans="1:6" x14ac:dyDescent="0.3">
      <c r="A15" s="3" t="s">
        <v>243</v>
      </c>
      <c r="B15" t="s">
        <v>232</v>
      </c>
      <c r="C15" t="s">
        <v>297</v>
      </c>
      <c r="D15" s="14"/>
      <c r="E1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chatarra.html</v>
      </c>
      <c r="F1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href="canciones/revolver/chatarra.html"&gt;Chatarra&lt;/a&gt;&lt;/li&gt;</v>
      </c>
    </row>
    <row r="16" spans="1:6" x14ac:dyDescent="0.3">
      <c r="A16" s="3" t="s">
        <v>244</v>
      </c>
      <c r="B16" t="s">
        <v>232</v>
      </c>
      <c r="C16" t="s">
        <v>321</v>
      </c>
      <c r="D16" s="14"/>
      <c r="E1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como_hablar.html</v>
      </c>
      <c r="F1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href="canciones/revolver/como_hablar.html"&gt;Cómo hablar&lt;/a&gt;&lt;/li&gt;</v>
      </c>
    </row>
    <row r="17" spans="1:6" x14ac:dyDescent="0.3">
      <c r="A17" s="3" t="s">
        <v>245</v>
      </c>
      <c r="B17" t="s">
        <v>232</v>
      </c>
      <c r="C17" t="s">
        <v>272</v>
      </c>
      <c r="D17" s="14"/>
      <c r="E1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como_un_martillo_en_la_pared.html</v>
      </c>
      <c r="F1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href="canciones/revolver/como_un_martillo_en_la_pared.html"&gt;Como un martillo en la pared&lt;/a&gt;&lt;/li&gt;</v>
      </c>
    </row>
    <row r="18" spans="1:6" x14ac:dyDescent="0.3">
      <c r="A18" s="3" t="s">
        <v>246</v>
      </c>
      <c r="B18" t="s">
        <v>232</v>
      </c>
      <c r="C18" t="s">
        <v>2638</v>
      </c>
      <c r="D18" s="14"/>
      <c r="E1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concorde.html</v>
      </c>
      <c r="F1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href="canciones/revolver/concorde.html"&gt;Concorde&lt;/a&gt;&lt;/li&gt;</v>
      </c>
    </row>
    <row r="19" spans="1:6" x14ac:dyDescent="0.3">
      <c r="A19" s="3" t="s">
        <v>247</v>
      </c>
      <c r="B19" t="s">
        <v>232</v>
      </c>
      <c r="C19" t="s">
        <v>996</v>
      </c>
      <c r="D19" s="14"/>
      <c r="E1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confiar_en_alguien.html</v>
      </c>
      <c r="F1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href="canciones/revolver/confiar_en_alguien.html"&gt;Confiar en alguien&lt;/a&gt;&lt;/li&gt;</v>
      </c>
    </row>
    <row r="20" spans="1:6" x14ac:dyDescent="0.3">
      <c r="A20" s="3" t="s">
        <v>248</v>
      </c>
      <c r="B20" t="s">
        <v>232</v>
      </c>
      <c r="C20" t="s">
        <v>272</v>
      </c>
      <c r="D20" s="14"/>
      <c r="E2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cuando_suba_la_marea.html</v>
      </c>
      <c r="F2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href="canciones/revolver/cuando_suba_la_marea.html"&gt;Cuando suba la marea&lt;/a&gt;&lt;/li&gt;</v>
      </c>
    </row>
    <row r="21" spans="1:6" x14ac:dyDescent="0.3">
      <c r="A21" s="6" t="s">
        <v>249</v>
      </c>
      <c r="B21" t="s">
        <v>232</v>
      </c>
      <c r="C21" t="s">
        <v>2638</v>
      </c>
      <c r="D21" s="14"/>
      <c r="E2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de_carne_y_hueso.html</v>
      </c>
      <c r="F2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href="canciones/revolver/de_carne_y_hueso.html"&gt;De carne y hueso&lt;/a&gt;&lt;/li&gt;</v>
      </c>
    </row>
    <row r="22" spans="1:6" x14ac:dyDescent="0.3">
      <c r="A22" s="3" t="s">
        <v>250</v>
      </c>
      <c r="B22" t="s">
        <v>232</v>
      </c>
      <c r="C22" t="s">
        <v>269</v>
      </c>
      <c r="D22" s="14"/>
      <c r="E2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de_la_noche_a_la_mañana.html</v>
      </c>
      <c r="F2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href="canciones/revolver/de_la_noche_a_la_mañana.html"&gt;De la noche a la mañana&lt;/a&gt;&lt;/li&gt;</v>
      </c>
    </row>
    <row r="23" spans="1:6" x14ac:dyDescent="0.3">
      <c r="A23" s="3" t="s">
        <v>251</v>
      </c>
      <c r="B23" t="s">
        <v>232</v>
      </c>
      <c r="C23" t="s">
        <v>2638</v>
      </c>
      <c r="D23" s="14"/>
      <c r="E2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deprisa.html</v>
      </c>
      <c r="F2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href="canciones/revolver/deprisa.html"&gt;Deprisa&lt;/a&gt;&lt;/li&gt;</v>
      </c>
    </row>
    <row r="24" spans="1:6" x14ac:dyDescent="0.3">
      <c r="A24" s="3" t="s">
        <v>252</v>
      </c>
      <c r="B24" t="s">
        <v>232</v>
      </c>
      <c r="C24" t="s">
        <v>996</v>
      </c>
      <c r="D24" s="14"/>
      <c r="E2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dias_de_verano.html</v>
      </c>
      <c r="F2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href="canciones/revolver/dias_de_verano.html"&gt;Días de verano&lt;/a&gt;&lt;/li&gt;</v>
      </c>
    </row>
    <row r="25" spans="1:6" x14ac:dyDescent="0.3">
      <c r="A25" s="3" t="s">
        <v>253</v>
      </c>
      <c r="B25" t="s">
        <v>232</v>
      </c>
      <c r="C25" t="s">
        <v>232</v>
      </c>
      <c r="D25" s="14"/>
      <c r="E2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dile_a_la_rabia.html</v>
      </c>
      <c r="F2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href="canciones/revolver/dile_a_la_rabia.html"&gt;Dile a la rabia&lt;/a&gt;&lt;/li&gt;</v>
      </c>
    </row>
    <row r="26" spans="1:6" x14ac:dyDescent="0.3">
      <c r="A26" s="3" t="s">
        <v>254</v>
      </c>
      <c r="B26" t="s">
        <v>232</v>
      </c>
      <c r="C26" t="s">
        <v>2638</v>
      </c>
      <c r="D26" s="14"/>
      <c r="E2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doce_palabras.html</v>
      </c>
      <c r="F2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href="canciones/revolver/doce_palabras.html"&gt;Doce palabras&lt;/a&gt;&lt;/li&gt;</v>
      </c>
    </row>
    <row r="27" spans="1:6" x14ac:dyDescent="0.3">
      <c r="A27" s="3" t="s">
        <v>2648</v>
      </c>
      <c r="B27" t="s">
        <v>232</v>
      </c>
      <c r="C27" t="s">
        <v>2655</v>
      </c>
      <c r="D27" s="14"/>
      <c r="E2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dolce_vita.html</v>
      </c>
      <c r="F2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href="canciones/revolver/dolce_vita.html"&gt;Dolce Vita&lt;/a&gt;&lt;/li&gt;</v>
      </c>
    </row>
    <row r="28" spans="1:6" x14ac:dyDescent="0.3">
      <c r="A28" s="3" t="s">
        <v>255</v>
      </c>
      <c r="B28" t="s">
        <v>232</v>
      </c>
      <c r="C28" t="s">
        <v>2638</v>
      </c>
      <c r="D28" s="14"/>
      <c r="E2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el_artista_del_alambre.html</v>
      </c>
      <c r="F2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href="canciones/revolver/el_artista_del_alambre.html"&gt;El artista del alambre&lt;/a&gt;&lt;/li&gt;</v>
      </c>
    </row>
    <row r="29" spans="1:6" x14ac:dyDescent="0.3">
      <c r="A29" s="3" t="s">
        <v>256</v>
      </c>
      <c r="B29" t="s">
        <v>232</v>
      </c>
      <c r="C29" t="s">
        <v>2638</v>
      </c>
      <c r="D29" s="14"/>
      <c r="E2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el_blues_de_la_generacion_perdida.html</v>
      </c>
      <c r="F2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href="canciones/revolver/el_blues_de_la_generacion_perdida.html"&gt;El blues de la generación perdida&lt;/a&gt;&lt;/li&gt;</v>
      </c>
    </row>
    <row r="30" spans="1:6" x14ac:dyDescent="0.3">
      <c r="A30" s="3" t="s">
        <v>257</v>
      </c>
      <c r="B30" t="s">
        <v>232</v>
      </c>
      <c r="C30" t="s">
        <v>269</v>
      </c>
      <c r="D30" s="14"/>
      <c r="E3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el_centro_de_mis_ojos.html</v>
      </c>
      <c r="F3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href="canciones/revolver/el_centro_de_mis_ojos.html"&gt;El centro de mis ojos&lt;/a&gt;&lt;/li&gt;</v>
      </c>
    </row>
    <row r="31" spans="1:6" x14ac:dyDescent="0.3">
      <c r="A31" s="3" t="s">
        <v>258</v>
      </c>
      <c r="B31" t="s">
        <v>232</v>
      </c>
      <c r="C31" t="s">
        <v>321</v>
      </c>
      <c r="D31" s="14"/>
      <c r="E3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el_dia_de_año_nuevo.html</v>
      </c>
      <c r="F3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href="canciones/revolver/el_dia_de_año_nuevo.html"&gt;El día de año nuevo&lt;/a&gt;&lt;/li&gt;</v>
      </c>
    </row>
    <row r="32" spans="1:6" x14ac:dyDescent="0.3">
      <c r="A32" s="3" t="s">
        <v>2636</v>
      </c>
      <c r="B32" t="s">
        <v>232</v>
      </c>
      <c r="C32" t="s">
        <v>321</v>
      </c>
      <c r="D32" s="14"/>
      <c r="E3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el_final.html</v>
      </c>
      <c r="F3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href="canciones/revolver/el_final.html"&gt;El final&lt;/a&gt;&lt;/li&gt;</v>
      </c>
    </row>
    <row r="33" spans="1:6" x14ac:dyDescent="0.3">
      <c r="A33" s="3" t="s">
        <v>259</v>
      </c>
      <c r="B33" t="s">
        <v>232</v>
      </c>
      <c r="C33" t="s">
        <v>321</v>
      </c>
      <c r="D33" s="14"/>
      <c r="E3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el_mundo_al_reves.html</v>
      </c>
      <c r="F3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href="canciones/revolver/el_mundo_al_reves.html"&gt;El mundo al revés&lt;/a&gt;&lt;/li&gt;</v>
      </c>
    </row>
    <row r="34" spans="1:6" x14ac:dyDescent="0.3">
      <c r="A34" s="3" t="s">
        <v>260</v>
      </c>
      <c r="B34" t="s">
        <v>232</v>
      </c>
      <c r="C34" t="s">
        <v>996</v>
      </c>
      <c r="D34" s="14"/>
      <c r="E3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el_universo_sobre_mi.html</v>
      </c>
      <c r="F3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href="canciones/revolver/el_universo_sobre_mi.html"&gt;El universo sobre mí&lt;/a&gt;&lt;/li&gt;</v>
      </c>
    </row>
    <row r="35" spans="1:6" x14ac:dyDescent="0.3">
      <c r="A35" s="3" t="s">
        <v>2650</v>
      </c>
      <c r="B35" t="s">
        <v>232</v>
      </c>
      <c r="C35" t="s">
        <v>2655</v>
      </c>
      <c r="D35" s="14"/>
      <c r="E3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en_el_centro_de_un_tornado.html</v>
      </c>
      <c r="F3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href="canciones/revolver/en_el_centro_de_un_tornado.html"&gt;En el centro de un tornado&lt;/a&gt;&lt;/li&gt;</v>
      </c>
    </row>
    <row r="36" spans="1:6" x14ac:dyDescent="0.3">
      <c r="A36" s="3" t="s">
        <v>261</v>
      </c>
      <c r="B36" t="s">
        <v>232</v>
      </c>
      <c r="C36" t="s">
        <v>996</v>
      </c>
      <c r="D36" s="14"/>
      <c r="E3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en_el_rio.html</v>
      </c>
      <c r="F3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href="canciones/revolver/en_el_rio.html"&gt;En el río&lt;/a&gt;&lt;/li&gt;</v>
      </c>
    </row>
    <row r="37" spans="1:6" x14ac:dyDescent="0.3">
      <c r="A37" s="3" t="s">
        <v>262</v>
      </c>
      <c r="B37" t="s">
        <v>232</v>
      </c>
      <c r="C37" t="s">
        <v>297</v>
      </c>
      <c r="D37" s="14"/>
      <c r="E3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en_el_tiempo_equivocado.html</v>
      </c>
      <c r="F3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href="canciones/revolver/en_el_tiempo_equivocado.html"&gt;En el tiempo equivocado&lt;/a&gt;&lt;/li&gt;</v>
      </c>
    </row>
    <row r="38" spans="1:6" x14ac:dyDescent="0.3">
      <c r="A38" s="3" t="s">
        <v>263</v>
      </c>
      <c r="B38" t="s">
        <v>232</v>
      </c>
      <c r="C38" t="s">
        <v>269</v>
      </c>
      <c r="D38" s="14"/>
      <c r="E3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en_solo_un_segundo.html</v>
      </c>
      <c r="F3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href="canciones/revolver/en_solo_un_segundo.html"&gt;En sólo un segundo&lt;/a&gt;&lt;/li&gt;</v>
      </c>
    </row>
    <row r="39" spans="1:6" x14ac:dyDescent="0.3">
      <c r="A39" s="2" t="s">
        <v>264</v>
      </c>
      <c r="B39" t="s">
        <v>232</v>
      </c>
      <c r="C39" t="s">
        <v>996</v>
      </c>
      <c r="D39" s="14"/>
      <c r="E3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enamorada.html</v>
      </c>
      <c r="F3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href="canciones/revolver/enamorada.html"&gt;Enamorada&lt;/a&gt;&lt;/li&gt;</v>
      </c>
    </row>
    <row r="40" spans="1:6" x14ac:dyDescent="0.3">
      <c r="A40" s="6" t="s">
        <v>603</v>
      </c>
      <c r="B40" t="s">
        <v>232</v>
      </c>
      <c r="C40" t="s">
        <v>2639</v>
      </c>
      <c r="D40" s="14"/>
      <c r="E4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entre_la_multitud.html</v>
      </c>
      <c r="F4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href="canciones/revolver/entre_la_multitud.html"&gt;Entre la multitud&lt;/a&gt;&lt;/li&gt;</v>
      </c>
    </row>
    <row r="41" spans="1:6" x14ac:dyDescent="0.3">
      <c r="A41" s="6" t="s">
        <v>265</v>
      </c>
      <c r="B41" t="s">
        <v>232</v>
      </c>
      <c r="C41" t="s">
        <v>2638</v>
      </c>
      <c r="D41" s="14"/>
      <c r="E4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es_solo_una_cancion.html</v>
      </c>
      <c r="F4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href="canciones/revolver/es_solo_una_cancion.html"&gt;Es sólo una canción&lt;/a&gt;&lt;/li&gt;</v>
      </c>
    </row>
    <row r="42" spans="1:6" x14ac:dyDescent="0.3">
      <c r="A42" s="6" t="s">
        <v>148</v>
      </c>
      <c r="B42" t="s">
        <v>232</v>
      </c>
      <c r="C42" t="s">
        <v>2640</v>
      </c>
      <c r="D42" s="14"/>
      <c r="E4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escapar.html</v>
      </c>
      <c r="F4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data-album="Single"&gt;&lt;a href="canciones/revolver/escapar.html"&gt;Escapar&lt;/a&gt;&lt;/li&gt;</v>
      </c>
    </row>
    <row r="43" spans="1:6" x14ac:dyDescent="0.3">
      <c r="A43" s="3" t="s">
        <v>2645</v>
      </c>
      <c r="B43" t="s">
        <v>232</v>
      </c>
      <c r="C43" t="s">
        <v>2655</v>
      </c>
      <c r="D43" s="14"/>
      <c r="E4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eso_que_te_vuela_la_cabeza.html</v>
      </c>
      <c r="F4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href="canciones/revolver/eso_que_te_vuela_la_cabeza.html"&gt;Eso que te vuela la cabeza&lt;/a&gt;&lt;/li&gt;</v>
      </c>
    </row>
    <row r="44" spans="1:6" x14ac:dyDescent="0.3">
      <c r="A44" s="6" t="s">
        <v>266</v>
      </c>
      <c r="B44" t="s">
        <v>232</v>
      </c>
      <c r="C44" t="s">
        <v>272</v>
      </c>
      <c r="D44" s="14"/>
      <c r="E4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esperando_un_resplandor.html</v>
      </c>
      <c r="F4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href="canciones/revolver/esperando_un_resplandor.html"&gt;Esperando un resplandor&lt;/a&gt;&lt;/li&gt;</v>
      </c>
    </row>
    <row r="45" spans="1:6" x14ac:dyDescent="0.3">
      <c r="A45" s="3" t="s">
        <v>267</v>
      </c>
      <c r="B45" t="s">
        <v>232</v>
      </c>
      <c r="C45" t="s">
        <v>996</v>
      </c>
      <c r="D45" s="14"/>
      <c r="E4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esta_madrugada.html</v>
      </c>
      <c r="F4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href="canciones/revolver/esta_madrugada.html"&gt;Esta madrugada&lt;/a&gt;&lt;/li&gt;</v>
      </c>
    </row>
    <row r="46" spans="1:6" x14ac:dyDescent="0.3">
      <c r="A46" s="3" t="s">
        <v>268</v>
      </c>
      <c r="B46" t="s">
        <v>232</v>
      </c>
      <c r="C46" t="s">
        <v>270</v>
      </c>
      <c r="D46" s="14"/>
      <c r="E4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esta_noche.html</v>
      </c>
      <c r="F4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href="canciones/revolver/esta_noche.html"&gt;Esta noche&lt;/a&gt;&lt;/li&gt;</v>
      </c>
    </row>
    <row r="47" spans="1:6" x14ac:dyDescent="0.3">
      <c r="A47" s="3" t="s">
        <v>269</v>
      </c>
      <c r="B47" t="s">
        <v>232</v>
      </c>
      <c r="C47" t="s">
        <v>269</v>
      </c>
      <c r="D47" s="14"/>
      <c r="E4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estrella_de_mar.html</v>
      </c>
      <c r="F4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href="canciones/revolver/estrella_de_mar.html"&gt;Estrella de mar&lt;/a&gt;&lt;/li&gt;</v>
      </c>
    </row>
    <row r="48" spans="1:6" x14ac:dyDescent="0.3">
      <c r="A48" s="3" t="s">
        <v>270</v>
      </c>
      <c r="B48" t="s">
        <v>232</v>
      </c>
      <c r="C48" t="s">
        <v>270</v>
      </c>
      <c r="D48" s="14"/>
      <c r="E4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gato_negro.html</v>
      </c>
      <c r="F4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href="canciones/revolver/gato_negro.html"&gt;Gato negro&lt;/a&gt;&lt;/li&gt;</v>
      </c>
    </row>
    <row r="49" spans="1:6" x14ac:dyDescent="0.3">
      <c r="A49" s="2" t="s">
        <v>271</v>
      </c>
      <c r="B49" t="s">
        <v>232</v>
      </c>
      <c r="C49" t="s">
        <v>232</v>
      </c>
      <c r="D49" s="14"/>
      <c r="E4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habla.html</v>
      </c>
      <c r="F4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href="canciones/revolver/habla.html"&gt;Habla&lt;/a&gt;&lt;/li&gt;</v>
      </c>
    </row>
    <row r="50" spans="1:6" x14ac:dyDescent="0.3">
      <c r="A50" s="3" t="s">
        <v>272</v>
      </c>
      <c r="B50" t="s">
        <v>232</v>
      </c>
      <c r="C50" t="s">
        <v>272</v>
      </c>
      <c r="D50" s="14"/>
      <c r="E5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hacia_lo_salvaje.html</v>
      </c>
      <c r="F5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href="canciones/revolver/hacia_lo_salvaje.html"&gt;Hacia lo salvaje&lt;/a&gt;&lt;/li&gt;</v>
      </c>
    </row>
    <row r="51" spans="1:6" x14ac:dyDescent="0.3">
      <c r="A51" s="2" t="s">
        <v>604</v>
      </c>
      <c r="B51" t="s">
        <v>232</v>
      </c>
      <c r="C51" t="s">
        <v>2639</v>
      </c>
      <c r="D51" s="14"/>
      <c r="E5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halconera.html</v>
      </c>
      <c r="F5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href="canciones/revolver/halconera.html"&gt;Halconera&lt;/a&gt;&lt;/li&gt;</v>
      </c>
    </row>
    <row r="52" spans="1:6" x14ac:dyDescent="0.3">
      <c r="A52" s="3" t="s">
        <v>2652</v>
      </c>
      <c r="B52" t="s">
        <v>232</v>
      </c>
      <c r="C52" t="s">
        <v>2655</v>
      </c>
      <c r="D52" s="14"/>
      <c r="E5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hasta_que_la_musica_se_acabe.html</v>
      </c>
      <c r="F5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href="canciones/revolver/hasta_que_la_musica_se_acabe.html"&gt;Hasta que la música se acabe&lt;/a&gt;&lt;/li&gt;</v>
      </c>
    </row>
    <row r="53" spans="1:6" x14ac:dyDescent="0.3">
      <c r="A53" s="6" t="s">
        <v>273</v>
      </c>
      <c r="B53" t="s">
        <v>232</v>
      </c>
      <c r="C53" t="s">
        <v>272</v>
      </c>
      <c r="D53" s="14"/>
      <c r="E5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hoy_es_el_principio_del_final.html</v>
      </c>
      <c r="F5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href="canciones/revolver/hoy_es_el_principio_del_final.html"&gt;Hoy es el principio del final&lt;/a&gt;&lt;/li&gt;</v>
      </c>
    </row>
    <row r="54" spans="1:6" x14ac:dyDescent="0.3">
      <c r="A54" s="2" t="s">
        <v>600</v>
      </c>
      <c r="B54" t="s">
        <v>232</v>
      </c>
      <c r="C54" t="s">
        <v>2639</v>
      </c>
      <c r="D54" s="14"/>
      <c r="E5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juguetes_rotos.html</v>
      </c>
      <c r="F5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href="canciones/revolver/juguetes_rotos.html"&gt;Juguetes rotos&lt;/a&gt;&lt;/li&gt;</v>
      </c>
    </row>
    <row r="55" spans="1:6" x14ac:dyDescent="0.3">
      <c r="A55" s="3" t="s">
        <v>274</v>
      </c>
      <c r="B55" t="s">
        <v>232</v>
      </c>
      <c r="C55" t="s">
        <v>270</v>
      </c>
      <c r="D55" s="14"/>
      <c r="E5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kamikaze.html</v>
      </c>
      <c r="F5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href="canciones/revolver/kamikaze.html"&gt;Kamikaze&lt;/a&gt;&lt;/li&gt;</v>
      </c>
    </row>
    <row r="56" spans="1:6" x14ac:dyDescent="0.3">
      <c r="A56" s="3" t="s">
        <v>275</v>
      </c>
      <c r="B56" t="s">
        <v>232</v>
      </c>
      <c r="C56" t="s">
        <v>270</v>
      </c>
      <c r="D56" s="14"/>
      <c r="E5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la_barrera_del_sonido.html</v>
      </c>
      <c r="F5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href="canciones/revolver/la_barrera_del_sonido.html"&gt;La barrera del sonido&lt;/a&gt;&lt;/li&gt;</v>
      </c>
    </row>
    <row r="57" spans="1:6" x14ac:dyDescent="0.3">
      <c r="A57" s="3" t="s">
        <v>276</v>
      </c>
      <c r="B57" t="s">
        <v>232</v>
      </c>
      <c r="C57" t="s">
        <v>297</v>
      </c>
      <c r="D57" s="14"/>
      <c r="E5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la_ciudad_maldita.html</v>
      </c>
      <c r="F5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href="canciones/revolver/la_ciudad_maldita.html"&gt;La ciudad maldita&lt;/a&gt;&lt;/li&gt;</v>
      </c>
    </row>
    <row r="58" spans="1:6" x14ac:dyDescent="0.3">
      <c r="A58" s="3" t="s">
        <v>277</v>
      </c>
      <c r="B58" t="s">
        <v>232</v>
      </c>
      <c r="C58" t="s">
        <v>297</v>
      </c>
      <c r="D58" s="14"/>
      <c r="E5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la_niebla.html</v>
      </c>
      <c r="F5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href="canciones/revolver/la_niebla.html"&gt;La niebla&lt;/a&gt;&lt;/li&gt;</v>
      </c>
    </row>
    <row r="59" spans="1:6" x14ac:dyDescent="0.3">
      <c r="A59" s="3" t="s">
        <v>2651</v>
      </c>
      <c r="B59" t="s">
        <v>232</v>
      </c>
      <c r="C59" t="s">
        <v>2655</v>
      </c>
      <c r="D59" s="14"/>
      <c r="E5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la_suerte.html</v>
      </c>
      <c r="F5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href="canciones/revolver/la_suerte.html"&gt;La suerte&lt;/a&gt;&lt;/li&gt;</v>
      </c>
    </row>
    <row r="60" spans="1:6" x14ac:dyDescent="0.3">
      <c r="A60" s="3" t="s">
        <v>2653</v>
      </c>
      <c r="B60" t="s">
        <v>232</v>
      </c>
      <c r="C60" t="s">
        <v>2655</v>
      </c>
      <c r="D60" s="14"/>
      <c r="E6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la_unidad_del_dolor.html</v>
      </c>
      <c r="F6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href="canciones/revolver/la_unidad_del_dolor.html"&gt;La unidad del dolor&lt;/a&gt;&lt;/li&gt;</v>
      </c>
    </row>
    <row r="61" spans="1:6" x14ac:dyDescent="0.3">
      <c r="A61" s="3" t="s">
        <v>278</v>
      </c>
      <c r="B61" t="s">
        <v>232</v>
      </c>
      <c r="C61" t="s">
        <v>297</v>
      </c>
      <c r="D61" s="14"/>
      <c r="E6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laberintos.html</v>
      </c>
      <c r="F6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href="canciones/revolver/laberintos.html"&gt;Laberintos&lt;/a&gt;&lt;/li&gt;</v>
      </c>
    </row>
    <row r="62" spans="1:6" x14ac:dyDescent="0.3">
      <c r="A62" s="3" t="s">
        <v>279</v>
      </c>
      <c r="B62" t="s">
        <v>232</v>
      </c>
      <c r="C62" t="s">
        <v>270</v>
      </c>
      <c r="D62" s="14"/>
      <c r="E6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las_chicas_de_mi_barrio.html</v>
      </c>
      <c r="F6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href="canciones/revolver/las_chicas_de_mi_barrio.html"&gt;Las chicas de mi barrio&lt;/a&gt;&lt;/li&gt;</v>
      </c>
    </row>
    <row r="63" spans="1:6" x14ac:dyDescent="0.3">
      <c r="A63" s="3" t="s">
        <v>280</v>
      </c>
      <c r="B63" t="s">
        <v>232</v>
      </c>
      <c r="C63" t="s">
        <v>270</v>
      </c>
      <c r="D63" s="14"/>
      <c r="E6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las_puertas_del_infierno.html</v>
      </c>
      <c r="F6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href="canciones/revolver/las_puertas_del_infierno.html"&gt;Las puertas del infierno&lt;/a&gt;&lt;/li&gt;</v>
      </c>
    </row>
    <row r="64" spans="1:6" x14ac:dyDescent="0.3">
      <c r="A64" s="3" t="s">
        <v>869</v>
      </c>
      <c r="B64" t="s">
        <v>232</v>
      </c>
      <c r="C64" t="s">
        <v>2655</v>
      </c>
      <c r="D64" s="14"/>
      <c r="E6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libre.html</v>
      </c>
      <c r="F6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href="canciones/revolver/libre.html"&gt;Libre&lt;/a&gt;&lt;/li&gt;</v>
      </c>
    </row>
    <row r="65" spans="1:6" x14ac:dyDescent="0.3">
      <c r="A65" s="3" t="s">
        <v>281</v>
      </c>
      <c r="B65" t="s">
        <v>232</v>
      </c>
      <c r="C65" t="s">
        <v>297</v>
      </c>
      <c r="D65" s="14"/>
      <c r="E6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llevame_muy_lejos.html</v>
      </c>
      <c r="F6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href="canciones/revolver/llevame_muy_lejos.html"&gt;Llévame muy lejos&lt;/a&gt;&lt;/li&gt;</v>
      </c>
    </row>
    <row r="66" spans="1:6" x14ac:dyDescent="0.3">
      <c r="A66" s="2" t="s">
        <v>602</v>
      </c>
      <c r="B66" t="s">
        <v>232</v>
      </c>
      <c r="C66" t="s">
        <v>2639</v>
      </c>
      <c r="D66" s="14"/>
      <c r="E6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lluvia.html</v>
      </c>
      <c r="F6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href="canciones/revolver/lluvia.html"&gt;Lluvia&lt;/a&gt;&lt;/li&gt;</v>
      </c>
    </row>
    <row r="67" spans="1:6" x14ac:dyDescent="0.3">
      <c r="A67" s="3" t="s">
        <v>282</v>
      </c>
      <c r="B67" t="s">
        <v>232</v>
      </c>
      <c r="C67" t="s">
        <v>297</v>
      </c>
      <c r="D67" s="14"/>
      <c r="E6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lo_que_nos_mantiene_unidos.html</v>
      </c>
      <c r="F6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href="canciones/revolver/lo_que_nos_mantiene_unidos.html"&gt;Lo que nos mantiene unidos&lt;/a&gt;&lt;/li&gt;</v>
      </c>
    </row>
    <row r="68" spans="1:6" x14ac:dyDescent="0.3">
      <c r="A68" s="3" t="s">
        <v>283</v>
      </c>
      <c r="B68" t="s">
        <v>232</v>
      </c>
      <c r="C68" t="s">
        <v>232</v>
      </c>
      <c r="D68" s="14"/>
      <c r="E6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lo_quiero_oir_de_tu_boca.html</v>
      </c>
      <c r="F6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href="canciones/revolver/lo_quiero_oir_de_tu_boca.html"&gt;Lo quiero oír de tu boca&lt;/a&gt;&lt;/li&gt;</v>
      </c>
    </row>
    <row r="69" spans="1:6" x14ac:dyDescent="0.3">
      <c r="A69" s="2" t="s">
        <v>284</v>
      </c>
      <c r="B69" t="s">
        <v>232</v>
      </c>
      <c r="C69" t="s">
        <v>321</v>
      </c>
      <c r="D69" s="14"/>
      <c r="E6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los_aviones_no_pueden_volar.html</v>
      </c>
      <c r="F6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href="canciones/revolver/los_aviones_no_pueden_volar.html"&gt;Los aviones no pueden volar&lt;/a&gt;&lt;/li&gt;</v>
      </c>
    </row>
    <row r="70" spans="1:6" x14ac:dyDescent="0.3">
      <c r="A70" s="3" t="s">
        <v>2649</v>
      </c>
      <c r="B70" t="s">
        <v>232</v>
      </c>
      <c r="C70" t="s">
        <v>2655</v>
      </c>
      <c r="D70" s="14"/>
      <c r="E7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los_demonios_del_fuego.html</v>
      </c>
      <c r="F7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href="canciones/revolver/los_demonios_del_fuego.html"&gt;Los demonios del fuego&lt;/a&gt;&lt;/li&gt;</v>
      </c>
    </row>
    <row r="71" spans="1:6" x14ac:dyDescent="0.3">
      <c r="A71" s="5" t="s">
        <v>594</v>
      </c>
      <c r="B71" t="s">
        <v>232</v>
      </c>
      <c r="C71" t="s">
        <v>2639</v>
      </c>
      <c r="D71" s="14"/>
      <c r="E7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mares_igual_que_tu.html</v>
      </c>
      <c r="F7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href="canciones/revolver/mares_igual_que_tu.html"&gt;Mares igual que tú&lt;/a&gt;&lt;/li&gt;</v>
      </c>
    </row>
    <row r="72" spans="1:6" x14ac:dyDescent="0.3">
      <c r="A72" s="3" t="s">
        <v>285</v>
      </c>
      <c r="B72" t="s">
        <v>232</v>
      </c>
      <c r="C72" t="s">
        <v>996</v>
      </c>
      <c r="D72" s="14"/>
      <c r="E7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marta_sebas_guille_y_los_demas.html</v>
      </c>
      <c r="F7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href="canciones/revolver/marta_sebas_guille_y_los_demas.html"&gt;Marta, Sebas, Guille y los demás&lt;/a&gt;&lt;/li&gt;</v>
      </c>
    </row>
    <row r="73" spans="1:6" x14ac:dyDescent="0.3">
      <c r="A73" s="2" t="s">
        <v>286</v>
      </c>
      <c r="B73" t="s">
        <v>232</v>
      </c>
      <c r="C73" t="s">
        <v>232</v>
      </c>
      <c r="D73" s="14"/>
      <c r="E7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mercado_negro.html</v>
      </c>
      <c r="F7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href="canciones/revolver/mercado_negro.html"&gt;Mercado negro&lt;/a&gt;&lt;/li&gt;</v>
      </c>
    </row>
    <row r="74" spans="1:6" x14ac:dyDescent="0.3">
      <c r="A74" s="3" t="s">
        <v>287</v>
      </c>
      <c r="B74" t="s">
        <v>232</v>
      </c>
      <c r="C74" t="s">
        <v>996</v>
      </c>
      <c r="D74" s="14"/>
      <c r="E7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mi_alma_perdida.html</v>
      </c>
      <c r="F7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href="canciones/revolver/mi_alma_perdida.html"&gt;Mi alma perdida&lt;/a&gt;&lt;/li&gt;</v>
      </c>
    </row>
    <row r="75" spans="1:6" x14ac:dyDescent="0.3">
      <c r="A75" s="2" t="s">
        <v>288</v>
      </c>
      <c r="B75" t="s">
        <v>232</v>
      </c>
      <c r="C75" t="s">
        <v>272</v>
      </c>
      <c r="D75" s="14"/>
      <c r="E7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montaña_rusa.html</v>
      </c>
      <c r="F7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href="canciones/revolver/montaña_rusa.html"&gt;Montaña rusa&lt;/a&gt;&lt;/li&gt;</v>
      </c>
    </row>
    <row r="76" spans="1:6" x14ac:dyDescent="0.3">
      <c r="A76" s="3" t="s">
        <v>289</v>
      </c>
      <c r="B76" t="s">
        <v>232</v>
      </c>
      <c r="C76" t="s">
        <v>269</v>
      </c>
      <c r="D76" s="14"/>
      <c r="E7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moriria_por_vos.html</v>
      </c>
      <c r="F7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href="canciones/revolver/moriria_por_vos.html"&gt;Moriría por vos&lt;/a&gt;&lt;/li&gt;</v>
      </c>
    </row>
    <row r="77" spans="1:6" x14ac:dyDescent="0.3">
      <c r="A77" s="3" t="s">
        <v>290</v>
      </c>
      <c r="B77" t="s">
        <v>2637</v>
      </c>
      <c r="C77" t="s">
        <v>321</v>
      </c>
      <c r="D77" s="14"/>
      <c r="E7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nada_de_nada.html</v>
      </c>
      <c r="F7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data-author="Amaral, Cecilia" data-album="Una pequeña parte del mundo"&gt;&lt;a href="canciones/revolver/nada_de_nada.html"&gt;Nada de nada&lt;/a&gt;&lt;/li&gt;</v>
      </c>
    </row>
    <row r="78" spans="1:6" x14ac:dyDescent="0.3">
      <c r="A78" s="3" t="s">
        <v>291</v>
      </c>
      <c r="B78" t="s">
        <v>232</v>
      </c>
      <c r="C78" t="s">
        <v>297</v>
      </c>
      <c r="D78" s="14"/>
      <c r="E7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nadie_nos_recordara.html</v>
      </c>
      <c r="F7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href="canciones/revolver/nadie_nos_recordara.html"&gt;Nadie nos recordará&lt;/a&gt;&lt;/li&gt;</v>
      </c>
    </row>
    <row r="79" spans="1:6" x14ac:dyDescent="0.3">
      <c r="A79" s="2" t="s">
        <v>292</v>
      </c>
      <c r="B79" t="s">
        <v>232</v>
      </c>
      <c r="C79" t="s">
        <v>232</v>
      </c>
      <c r="D79" s="14"/>
      <c r="E7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no_existen_los_milagros.html</v>
      </c>
      <c r="F7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href="canciones/revolver/no_existen_los_milagros.html"&gt;No existen los milagros&lt;/a&gt;&lt;/li&gt;</v>
      </c>
    </row>
    <row r="80" spans="1:6" x14ac:dyDescent="0.3">
      <c r="A80" s="3" t="s">
        <v>2643</v>
      </c>
      <c r="B80" t="s">
        <v>232</v>
      </c>
      <c r="C80" t="s">
        <v>2655</v>
      </c>
      <c r="D80" s="14"/>
      <c r="E8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no_lo_entiendo.html</v>
      </c>
      <c r="F8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href="canciones/revolver/no_lo_entiendo.html"&gt;No lo entiendo&lt;/a&gt;&lt;/li&gt;</v>
      </c>
    </row>
    <row r="81" spans="1:6" x14ac:dyDescent="0.3">
      <c r="A81" s="3" t="s">
        <v>293</v>
      </c>
      <c r="B81" t="s">
        <v>232</v>
      </c>
      <c r="C81" t="s">
        <v>269</v>
      </c>
      <c r="D81" s="14"/>
      <c r="E8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no_sabe_adonde_va.html</v>
      </c>
      <c r="F8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href="canciones/revolver/no_sabe_adonde_va.html"&gt;No sabe adónde va&lt;/a&gt;&lt;/li&gt;</v>
      </c>
    </row>
    <row r="82" spans="1:6" x14ac:dyDescent="0.3">
      <c r="A82" s="3" t="s">
        <v>294</v>
      </c>
      <c r="B82" t="s">
        <v>232</v>
      </c>
      <c r="C82" t="s">
        <v>232</v>
      </c>
      <c r="D82" s="14"/>
      <c r="E8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no_se_que_hacer_con_mi_vida.html</v>
      </c>
      <c r="F8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href="canciones/revolver/no_se_que_hacer_con_mi_vida.html"&gt;No sé qué hacer con mi vida&lt;/a&gt;&lt;/li&gt;</v>
      </c>
    </row>
    <row r="83" spans="1:6" x14ac:dyDescent="0.3">
      <c r="A83" s="3" t="s">
        <v>295</v>
      </c>
      <c r="B83" t="s">
        <v>232</v>
      </c>
      <c r="C83" t="s">
        <v>996</v>
      </c>
      <c r="D83" s="14"/>
      <c r="E8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no_soy_como_tu.html</v>
      </c>
      <c r="F8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href="canciones/revolver/no_soy_como_tu.html"&gt;No soy como tú&lt;/a&gt;&lt;/li&gt;</v>
      </c>
    </row>
    <row r="84" spans="1:6" x14ac:dyDescent="0.3">
      <c r="A84" s="3" t="s">
        <v>296</v>
      </c>
      <c r="B84" t="s">
        <v>232</v>
      </c>
      <c r="C84" t="s">
        <v>297</v>
      </c>
      <c r="D84" s="14"/>
      <c r="E8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noche_de_cuchillos.html</v>
      </c>
      <c r="F8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href="canciones/revolver/noche_de_cuchillos.html"&gt;Noche de cuchillos&lt;/a&gt;&lt;/li&gt;</v>
      </c>
    </row>
    <row r="85" spans="1:6" x14ac:dyDescent="0.3">
      <c r="A85" s="3" t="s">
        <v>297</v>
      </c>
      <c r="B85" t="s">
        <v>232</v>
      </c>
      <c r="C85" t="s">
        <v>297</v>
      </c>
      <c r="D85" s="14"/>
      <c r="E8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nocturnal.html</v>
      </c>
      <c r="F8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href="canciones/revolver/nocturnal.html"&gt;Nocturnal&lt;/a&gt;&lt;/li&gt;</v>
      </c>
    </row>
    <row r="86" spans="1:6" x14ac:dyDescent="0.3">
      <c r="A86" s="5" t="s">
        <v>596</v>
      </c>
      <c r="B86" t="s">
        <v>232</v>
      </c>
      <c r="C86" t="s">
        <v>2639</v>
      </c>
      <c r="D86" s="14"/>
      <c r="E8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nuestro_tiempo.html</v>
      </c>
      <c r="F8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href="canciones/revolver/nuestro_tiempo.html"&gt;Nuestro tiempo&lt;/a&gt;&lt;/li&gt;</v>
      </c>
    </row>
    <row r="87" spans="1:6" x14ac:dyDescent="0.3">
      <c r="A87" s="3" t="s">
        <v>298</v>
      </c>
      <c r="B87" t="s">
        <v>232</v>
      </c>
      <c r="C87" t="s">
        <v>272</v>
      </c>
      <c r="D87" s="14"/>
      <c r="E8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olvido.html</v>
      </c>
      <c r="F8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href="canciones/revolver/olvido.html"&gt;Olvido&lt;/a&gt;&lt;/li&gt;</v>
      </c>
    </row>
    <row r="88" spans="1:6" x14ac:dyDescent="0.3">
      <c r="A88" s="5" t="s">
        <v>593</v>
      </c>
      <c r="B88" t="s">
        <v>232</v>
      </c>
      <c r="C88" t="s">
        <v>2639</v>
      </c>
      <c r="D88" s="14"/>
      <c r="E8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ondas_do_mar_de_vigo.html</v>
      </c>
      <c r="F8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href="canciones/revolver/ondas_do_mar_de_vigo.html"&gt;Ondas do mar de Vigo&lt;/a&gt;&lt;/li&gt;</v>
      </c>
    </row>
    <row r="89" spans="1:6" x14ac:dyDescent="0.3">
      <c r="A89" s="3" t="s">
        <v>2654</v>
      </c>
      <c r="B89" t="s">
        <v>232</v>
      </c>
      <c r="C89" t="s">
        <v>2655</v>
      </c>
      <c r="D89" s="14"/>
      <c r="E8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pajaros.html</v>
      </c>
      <c r="F8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href="canciones/revolver/pajaros.html"&gt;Pájaros&lt;/a&gt;&lt;/li&gt;</v>
      </c>
    </row>
    <row r="90" spans="1:6" x14ac:dyDescent="0.3">
      <c r="A90" s="5" t="s">
        <v>598</v>
      </c>
      <c r="B90" t="s">
        <v>232</v>
      </c>
      <c r="C90" t="s">
        <v>2639</v>
      </c>
      <c r="D90" s="14"/>
      <c r="E9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peces_de_colores.html</v>
      </c>
      <c r="F9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href="canciones/revolver/peces_de_colores.html"&gt;Peces de colores&lt;/a&gt;&lt;/li&gt;</v>
      </c>
    </row>
    <row r="91" spans="1:6" x14ac:dyDescent="0.3">
      <c r="A91" s="3" t="s">
        <v>170</v>
      </c>
      <c r="B91" t="s">
        <v>232</v>
      </c>
      <c r="C91" t="s">
        <v>2638</v>
      </c>
      <c r="D91" s="14"/>
      <c r="E9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perdoname.html</v>
      </c>
      <c r="F9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data-album="Dragón rojo"&gt;&lt;a href="canciones/revolver/perdoname.html"&gt;Perdóname&lt;/a&gt;&lt;/li&gt;</v>
      </c>
    </row>
    <row r="92" spans="1:6" x14ac:dyDescent="0.3">
      <c r="A92" s="3" t="s">
        <v>2646</v>
      </c>
      <c r="B92" t="s">
        <v>232</v>
      </c>
      <c r="C92" t="s">
        <v>2655</v>
      </c>
      <c r="D92" s="14"/>
      <c r="E9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podria_haber_sido_yo.html</v>
      </c>
      <c r="F9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href="canciones/revolver/podria_haber_sido_yo.html"&gt;Podría haber sido yo&lt;/a&gt;&lt;/li&gt;</v>
      </c>
    </row>
    <row r="93" spans="1:6" x14ac:dyDescent="0.3">
      <c r="A93" s="3" t="s">
        <v>299</v>
      </c>
      <c r="B93" t="s">
        <v>232</v>
      </c>
      <c r="C93" t="s">
        <v>269</v>
      </c>
      <c r="D93" s="14"/>
      <c r="E9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que_sera.html</v>
      </c>
      <c r="F9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href="canciones/revolver/que_sera.html"&gt;Qué será&lt;/a&gt;&lt;/li&gt;</v>
      </c>
    </row>
    <row r="94" spans="1:6" x14ac:dyDescent="0.3">
      <c r="A94" s="2" t="s">
        <v>300</v>
      </c>
      <c r="B94" t="s">
        <v>232</v>
      </c>
      <c r="C94" t="s">
        <v>321</v>
      </c>
      <c r="D94" s="14"/>
      <c r="E9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queda_el_silencio.html</v>
      </c>
      <c r="F9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href="canciones/revolver/queda_el_silencio.html"&gt;Queda el silencio&lt;/a&gt;&lt;/li&gt;</v>
      </c>
    </row>
    <row r="95" spans="1:6" x14ac:dyDescent="0.3">
      <c r="A95" s="3" t="s">
        <v>301</v>
      </c>
      <c r="B95" t="s">
        <v>232</v>
      </c>
      <c r="C95" t="s">
        <v>996</v>
      </c>
      <c r="D95" s="14"/>
      <c r="E9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resurreccion.html</v>
      </c>
      <c r="F9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href="canciones/revolver/resurreccion.html"&gt;Resurrección&lt;/a&gt;&lt;/li&gt;</v>
      </c>
    </row>
    <row r="96" spans="1:6" x14ac:dyDescent="0.3">
      <c r="A96" s="3" t="s">
        <v>302</v>
      </c>
      <c r="B96" t="s">
        <v>232</v>
      </c>
      <c r="C96" t="s">
        <v>996</v>
      </c>
      <c r="D96" s="14"/>
      <c r="E9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revolucion.html</v>
      </c>
      <c r="F9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href="canciones/revolver/revolucion.html"&gt;Revolución&lt;/a&gt;&lt;/li&gt;</v>
      </c>
    </row>
    <row r="97" spans="1:6" x14ac:dyDescent="0.3">
      <c r="A97" s="3" t="s">
        <v>303</v>
      </c>
      <c r="B97" t="s">
        <v>232</v>
      </c>
      <c r="C97" t="s">
        <v>272</v>
      </c>
      <c r="D97" s="14"/>
      <c r="E9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riazor.html</v>
      </c>
      <c r="F9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href="canciones/revolver/riazor.html"&gt;Riazor&lt;/a&gt;&lt;/li&gt;</v>
      </c>
    </row>
    <row r="98" spans="1:6" x14ac:dyDescent="0.3">
      <c r="A98" s="3" t="s">
        <v>304</v>
      </c>
      <c r="B98" t="s">
        <v>232</v>
      </c>
      <c r="C98" t="s">
        <v>272</v>
      </c>
      <c r="D98" s="14"/>
      <c r="E9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robin_hood.html</v>
      </c>
      <c r="F9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href="canciones/revolver/robin_hood.html"&gt;Robin Hood&lt;/a&gt;&lt;/li&gt;</v>
      </c>
    </row>
    <row r="99" spans="1:6" x14ac:dyDescent="0.3">
      <c r="A99" s="3" t="s">
        <v>305</v>
      </c>
      <c r="B99" t="s">
        <v>232</v>
      </c>
      <c r="C99" t="s">
        <v>270</v>
      </c>
      <c r="D99" s="14"/>
      <c r="E9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rock_&amp;_roll.html</v>
      </c>
      <c r="F9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href="canciones/revolver/rock_&amp;_roll.html"&gt;Rock &amp; Roll&lt;/a&gt;&lt;/li&gt;</v>
      </c>
    </row>
    <row r="100" spans="1:6" x14ac:dyDescent="0.3">
      <c r="A100" s="3" t="s">
        <v>2644</v>
      </c>
      <c r="B100" t="s">
        <v>232</v>
      </c>
      <c r="C100" t="s">
        <v>2655</v>
      </c>
      <c r="D100" s="14"/>
      <c r="E10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rompehielos.html</v>
      </c>
      <c r="F10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href="canciones/revolver/rompehielos.html"&gt;Rompehielos&lt;/a&gt;&lt;/li&gt;</v>
      </c>
    </row>
    <row r="101" spans="1:6" x14ac:dyDescent="0.3">
      <c r="A101" s="3" t="s">
        <v>306</v>
      </c>
      <c r="B101" t="s">
        <v>232</v>
      </c>
      <c r="C101" t="s">
        <v>269</v>
      </c>
      <c r="D101" s="14"/>
      <c r="E10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rosa_de_la_paz.html</v>
      </c>
      <c r="F10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href="canciones/revolver/rosa_de_la_paz.html"&gt;Rosa de la paz&lt;/a&gt;&lt;/li&gt;</v>
      </c>
    </row>
    <row r="102" spans="1:6" x14ac:dyDescent="0.3">
      <c r="A102" s="3" t="s">
        <v>307</v>
      </c>
      <c r="B102" t="s">
        <v>232</v>
      </c>
      <c r="C102" t="s">
        <v>232</v>
      </c>
      <c r="D102" s="14"/>
      <c r="E10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rosita.html</v>
      </c>
      <c r="F10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href="canciones/revolver/rosita.html"&gt;Rosita&lt;/a&gt;&lt;/li&gt;</v>
      </c>
    </row>
    <row r="103" spans="1:6" x14ac:dyDescent="0.3">
      <c r="A103" s="5" t="s">
        <v>601</v>
      </c>
      <c r="B103" t="s">
        <v>232</v>
      </c>
      <c r="C103" t="s">
        <v>2639</v>
      </c>
      <c r="D103" s="14"/>
      <c r="E10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ruido.html</v>
      </c>
      <c r="F10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href="canciones/revolver/ruido.html"&gt;Ruido&lt;/a&gt;&lt;/li&gt;</v>
      </c>
    </row>
    <row r="104" spans="1:6" x14ac:dyDescent="0.3">
      <c r="A104" s="3" t="s">
        <v>308</v>
      </c>
      <c r="B104" t="s">
        <v>232</v>
      </c>
      <c r="C104" t="s">
        <v>269</v>
      </c>
      <c r="D104" s="14"/>
      <c r="E10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salir_corriendo.html</v>
      </c>
      <c r="F10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href="canciones/revolver/salir_corriendo.html"&gt;Salir corriendo&lt;/a&gt;&lt;/li&gt;</v>
      </c>
    </row>
    <row r="105" spans="1:6" x14ac:dyDescent="0.3">
      <c r="A105" s="3" t="s">
        <v>309</v>
      </c>
      <c r="B105" t="s">
        <v>232</v>
      </c>
      <c r="C105" t="s">
        <v>996</v>
      </c>
      <c r="D105" s="14"/>
      <c r="E10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salta.html</v>
      </c>
      <c r="F10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href="canciones/revolver/salta.html"&gt;Salta&lt;/a&gt;&lt;/li&gt;</v>
      </c>
    </row>
    <row r="106" spans="1:6" x14ac:dyDescent="0.3">
      <c r="A106" s="5" t="s">
        <v>595</v>
      </c>
      <c r="B106" t="s">
        <v>232</v>
      </c>
      <c r="C106" t="s">
        <v>2639</v>
      </c>
      <c r="D106" s="14"/>
      <c r="E10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señales.html</v>
      </c>
      <c r="F10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href="canciones/revolver/señales.html"&gt;Señales&lt;/a&gt;&lt;/li&gt;</v>
      </c>
    </row>
    <row r="107" spans="1:6" x14ac:dyDescent="0.3">
      <c r="A107" s="3" t="s">
        <v>310</v>
      </c>
      <c r="B107" t="s">
        <v>232</v>
      </c>
      <c r="C107" t="s">
        <v>272</v>
      </c>
      <c r="D107" s="14"/>
      <c r="E10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si_las_calles_pudieran_hablar.html</v>
      </c>
      <c r="F10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href="canciones/revolver/si_las_calles_pudieran_hablar.html"&gt;Si las calles pudieran hablar&lt;/a&gt;&lt;/li&gt;</v>
      </c>
    </row>
    <row r="108" spans="1:6" x14ac:dyDescent="0.3">
      <c r="A108" s="3" t="s">
        <v>311</v>
      </c>
      <c r="B108" t="s">
        <v>232</v>
      </c>
      <c r="C108" t="s">
        <v>321</v>
      </c>
      <c r="D108" s="14"/>
      <c r="E10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siento_que_te_extraño.html</v>
      </c>
      <c r="F10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href="canciones/revolver/siento_que_te_extraño.html"&gt;Siento que te extraño&lt;/a&gt;&lt;/li&gt;</v>
      </c>
    </row>
    <row r="109" spans="1:6" x14ac:dyDescent="0.3">
      <c r="A109" s="3" t="s">
        <v>312</v>
      </c>
      <c r="B109" t="s">
        <v>232</v>
      </c>
      <c r="C109" t="s">
        <v>269</v>
      </c>
      <c r="D109" s="14"/>
      <c r="E10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sin_ti_no_soy_nada.html</v>
      </c>
      <c r="F10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href="canciones/revolver/sin_ti_no_soy_nada.html"&gt;Sin ti no soy nada&lt;/a&gt;&lt;/li&gt;</v>
      </c>
    </row>
    <row r="110" spans="1:6" x14ac:dyDescent="0.3">
      <c r="A110" s="5" t="s">
        <v>176</v>
      </c>
      <c r="B110" t="s">
        <v>232</v>
      </c>
      <c r="C110" t="s">
        <v>2639</v>
      </c>
      <c r="D110" s="14"/>
      <c r="E11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soledad.html</v>
      </c>
      <c r="F11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href="canciones/revolver/soledad.html"&gt;Soledad&lt;/a&gt;&lt;/li&gt;</v>
      </c>
    </row>
    <row r="111" spans="1:6" x14ac:dyDescent="0.3">
      <c r="A111" s="20" t="s">
        <v>313</v>
      </c>
      <c r="B111" t="s">
        <v>232</v>
      </c>
      <c r="C111" t="s">
        <v>232</v>
      </c>
      <c r="D111" s="14"/>
      <c r="E11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soy_lo_que_soy.html</v>
      </c>
      <c r="F11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href="canciones/revolver/soy_lo_que_soy.html"&gt;Soy lo que soy&lt;/a&gt;&lt;/li&gt;</v>
      </c>
    </row>
    <row r="112" spans="1:6" x14ac:dyDescent="0.3">
      <c r="A112" s="15" t="s">
        <v>314</v>
      </c>
      <c r="B112" t="s">
        <v>232</v>
      </c>
      <c r="C112" t="s">
        <v>321</v>
      </c>
      <c r="D112" s="14"/>
      <c r="E11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subamos_al_cielo.html</v>
      </c>
      <c r="F11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href="canciones/revolver/subamos_al_cielo.html"&gt;Subamos al cielo&lt;/a&gt;&lt;/li&gt;</v>
      </c>
    </row>
    <row r="113" spans="1:6" x14ac:dyDescent="0.3">
      <c r="A113" s="15" t="s">
        <v>2641</v>
      </c>
      <c r="B113" t="s">
        <v>232</v>
      </c>
      <c r="C113" t="s">
        <v>2655</v>
      </c>
      <c r="D113" s="14"/>
      <c r="E11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tal_y_como_soy.html</v>
      </c>
      <c r="F11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href="canciones/revolver/tal_y_como_soy.html"&gt;Tal y como soy&lt;/a&gt;&lt;/li&gt;</v>
      </c>
    </row>
    <row r="114" spans="1:6" x14ac:dyDescent="0.3">
      <c r="A114" s="22" t="s">
        <v>599</v>
      </c>
      <c r="B114" t="s">
        <v>232</v>
      </c>
      <c r="C114" t="s">
        <v>2639</v>
      </c>
      <c r="D114" s="14"/>
      <c r="E11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tambores_de_la_rebelion.html</v>
      </c>
      <c r="F11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data-album="Salto al color"&gt;&lt;a href="canciones/revolver/tambores_de_la_rebelion.html"&gt;Tambores de la rebelión&lt;/a&gt;&lt;/li&gt;</v>
      </c>
    </row>
    <row r="115" spans="1:6" x14ac:dyDescent="0.3">
      <c r="A115" s="15" t="s">
        <v>315</v>
      </c>
      <c r="B115" t="s">
        <v>232</v>
      </c>
      <c r="C115" t="s">
        <v>270</v>
      </c>
      <c r="D115" s="14"/>
      <c r="E11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tarde_de_domingo_rara.html</v>
      </c>
      <c r="F11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data-album="Gato negro"&gt;&lt;a href="canciones/revolver/tarde_de_domingo_rara.html"&gt;Tarde de domingo rara&lt;/a&gt;&lt;/li&gt;</v>
      </c>
    </row>
    <row r="116" spans="1:6" x14ac:dyDescent="0.3">
      <c r="A116" s="15" t="s">
        <v>316</v>
      </c>
      <c r="B116" t="s">
        <v>232</v>
      </c>
      <c r="C116" t="s">
        <v>996</v>
      </c>
      <c r="D116" s="14"/>
      <c r="E11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tarde_para_cambiar.html</v>
      </c>
      <c r="F11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data-album="Pájaros en la cabeza"&gt;&lt;a href="canciones/revolver/tarde_para_cambiar.html"&gt;Tarde para cambiar&lt;/a&gt;&lt;/li&gt;</v>
      </c>
    </row>
    <row r="117" spans="1:6" x14ac:dyDescent="0.3">
      <c r="A117" s="15" t="s">
        <v>317</v>
      </c>
      <c r="B117" t="s">
        <v>232</v>
      </c>
      <c r="C117" t="s">
        <v>232</v>
      </c>
      <c r="D117" s="14"/>
      <c r="E117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tardes.html</v>
      </c>
      <c r="F117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href="canciones/revolver/tardes.html"&gt;Tardes&lt;/a&gt;&lt;/li&gt;</v>
      </c>
    </row>
    <row r="118" spans="1:6" x14ac:dyDescent="0.3">
      <c r="A118" s="15" t="s">
        <v>318</v>
      </c>
      <c r="B118" t="s">
        <v>232</v>
      </c>
      <c r="C118" t="s">
        <v>269</v>
      </c>
      <c r="D118" s="14"/>
      <c r="E118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te_necesito.html</v>
      </c>
      <c r="F118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href="canciones/revolver/te_necesito.html"&gt;Te necesito&lt;/a&gt;&lt;/li&gt;</v>
      </c>
    </row>
    <row r="119" spans="1:6" x14ac:dyDescent="0.3">
      <c r="A119" s="15" t="s">
        <v>319</v>
      </c>
      <c r="B119" t="s">
        <v>232</v>
      </c>
      <c r="C119" t="s">
        <v>269</v>
      </c>
      <c r="D119" s="14"/>
      <c r="E119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toda_la_noche_en_la_calle.html</v>
      </c>
      <c r="F119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data-album="Estrella de mar"&gt;&lt;a href="canciones/revolver/toda_la_noche_en_la_calle.html"&gt;Toda la noche en la calle&lt;/a&gt;&lt;/li&gt;</v>
      </c>
    </row>
    <row r="120" spans="1:6" x14ac:dyDescent="0.3">
      <c r="A120" s="15" t="s">
        <v>320</v>
      </c>
      <c r="B120" t="s">
        <v>232</v>
      </c>
      <c r="C120" t="s">
        <v>232</v>
      </c>
      <c r="D120" s="14"/>
      <c r="E120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un_dia_mas.html</v>
      </c>
      <c r="F120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href="canciones/revolver/un_dia_mas.html"&gt;Un día más&lt;/a&gt;&lt;/li&gt;</v>
      </c>
    </row>
    <row r="121" spans="1:6" x14ac:dyDescent="0.3">
      <c r="A121" s="15" t="s">
        <v>321</v>
      </c>
      <c r="B121" t="s">
        <v>232</v>
      </c>
      <c r="C121" t="s">
        <v>321</v>
      </c>
      <c r="D121" s="14"/>
      <c r="E121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una_pequeña_parte_del_mundo.html</v>
      </c>
      <c r="F121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href="canciones/revolver/una_pequeña_parte_del_mundo.html"&gt;Una pequeña parte del mundo&lt;/a&gt;&lt;/li&gt;</v>
      </c>
    </row>
    <row r="122" spans="1:6" x14ac:dyDescent="0.3">
      <c r="A122" s="15" t="s">
        <v>322</v>
      </c>
      <c r="B122" t="s">
        <v>232</v>
      </c>
      <c r="C122" t="s">
        <v>297</v>
      </c>
      <c r="D122" s="14"/>
      <c r="E122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unas_veces_se_gana_y_otras_se_pierde.html</v>
      </c>
      <c r="F122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data-album="Nocturnal"&gt;&lt;a href="canciones/revolver/unas_veces_se_gana_y_otras_se_pierde.html"&gt;Unas veces se gana y otras se pierde&lt;/a&gt;&lt;/li&gt;</v>
      </c>
    </row>
    <row r="123" spans="1:6" x14ac:dyDescent="0.3">
      <c r="A123" s="15" t="s">
        <v>323</v>
      </c>
      <c r="B123" t="s">
        <v>232</v>
      </c>
      <c r="C123" t="s">
        <v>272</v>
      </c>
      <c r="D123" s="14"/>
      <c r="E123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van_como_locos.html</v>
      </c>
      <c r="F123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data-album="Hacia lo salvaje"&gt;&lt;a href="canciones/revolver/van_como_locos.html"&gt;Van como locos&lt;/a&gt;&lt;/li&gt;</v>
      </c>
    </row>
    <row r="124" spans="1:6" x14ac:dyDescent="0.3">
      <c r="A124" s="15" t="s">
        <v>2647</v>
      </c>
      <c r="B124" t="s">
        <v>232</v>
      </c>
      <c r="C124" t="s">
        <v>2655</v>
      </c>
      <c r="D124" s="14"/>
      <c r="E124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viernes_santo.html</v>
      </c>
      <c r="F124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data-album="Dolce vita"&gt;&lt;a href="canciones/revolver/viernes_santo.html"&gt;Viernes Santo&lt;/a&gt;&lt;/li&gt;</v>
      </c>
    </row>
    <row r="125" spans="1:6" x14ac:dyDescent="0.3">
      <c r="A125" s="15" t="s">
        <v>324</v>
      </c>
      <c r="B125" t="s">
        <v>232</v>
      </c>
      <c r="C125" t="s">
        <v>321</v>
      </c>
      <c r="D125" s="14"/>
      <c r="E125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volvera_la_suerte.html</v>
      </c>
      <c r="F125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data-album="Una pequeña parte del mundo"&gt;&lt;a href="canciones/revolver/volvera_la_suerte.html"&gt;Volverá la suerte&lt;/a&gt;&lt;/li&gt;</v>
      </c>
    </row>
    <row r="126" spans="1:6" x14ac:dyDescent="0.3">
      <c r="A126" s="15" t="s">
        <v>325</v>
      </c>
      <c r="B126" t="s">
        <v>232</v>
      </c>
      <c r="C126" t="s">
        <v>232</v>
      </c>
      <c r="D126" s="14"/>
      <c r="E126" t="str">
        <f>SUBSTITUTE(SUBSTITUTE(SUBSTITUTE(SUBSTITUTE(SUBSTITUTE(SUBSTITUTE(SUBSTITUTE(SUBSTITUTE(SUBSTITUTE(SUBSTITUTE(SUBSTITUTE(LOWER(Amaral[[#This Row],[Título]]),"á","a"),"é","e"),"í","i"),"ó","o"),"ú","u")," ","_"),"¿",""),"?",""),"¡",""),"!",""),",","")&amp;".html"</f>
        <v>voy_a_acabar_contigo.html</v>
      </c>
      <c r="F126" t="str">
        <f>"&lt;li data-author="""&amp;Amaral[[#This Row],[Autor]]&amp;""" data-album="""&amp;Amaral[[#This Row],[Álbum]]&amp;"""&gt;&lt;a href=""canciones/"&amp;"revolver"&amp;"/"&amp;Amaral[[#This Row],[ruta]]&amp;"""&gt;"&amp;Amaral[[#This Row],[Título]]&amp;"&lt;/a&gt;&lt;/li&gt;"</f>
        <v>&lt;li data-author="Amaral" data-album="Amaral"&gt;&lt;a href="canciones/revolver/voy_a_acabar_contigo.html"&gt;Voy a acabar contigo&lt;/a&gt;&lt;/li&gt;</v>
      </c>
    </row>
  </sheetData>
  <conditionalFormatting sqref="D1:D1048576">
    <cfRule type="containsText" dxfId="0" priority="1" operator="containsText" text="OK">
      <formula>NOT(ISERROR(SEARCH("OK",D1)))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95E32-2738-4E21-B66E-B7E3210B0E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Listas</vt:lpstr>
      <vt:lpstr>Resumen</vt:lpstr>
      <vt:lpstr>Revólver</vt:lpstr>
      <vt:lpstr>html</vt:lpstr>
      <vt:lpstr>La Oreja de Van Gogh</vt:lpstr>
      <vt:lpstr>Amaral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 Moreno</dc:creator>
  <cp:lastModifiedBy>JUAN JOSE MORENO LABELLA</cp:lastModifiedBy>
  <dcterms:created xsi:type="dcterms:W3CDTF">2015-06-05T18:19:34Z</dcterms:created>
  <dcterms:modified xsi:type="dcterms:W3CDTF">2026-06-23T18:00:03Z</dcterms:modified>
</cp:coreProperties>
</file>